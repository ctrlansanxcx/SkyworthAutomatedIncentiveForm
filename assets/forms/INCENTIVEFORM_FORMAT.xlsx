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alle\Projects\SKYWORTH_INCENTIVE_APPLICATION\incentivesystem\assets\forms\"/>
    </mc:Choice>
  </mc:AlternateContent>
  <xr:revisionPtr revIDLastSave="0" documentId="13_ncr:1_{A0BD953E-13F3-410B-90AF-491912CB500D}" xr6:coauthVersionLast="47" xr6:coauthVersionMax="47" xr10:uidLastSave="{00000000-0000-0000-0000-000000000000}"/>
  <bookViews>
    <workbookView xWindow="-96" yWindow="0" windowWidth="11712" windowHeight="12336" tabRatio="939" firstSheet="3" activeTab="5" xr2:uid="{00000000-000D-0000-FFFF-FFFF00000000}"/>
  </bookViews>
  <sheets>
    <sheet name="INCENTIVEFORM" sheetId="1" r:id="rId1"/>
    <sheet name="NONCONDITIONAL" sheetId="2" r:id="rId2"/>
    <sheet name="RUNNING" sheetId="3" r:id="rId3"/>
    <sheet name="LIQUIDATION" sheetId="4" r:id="rId4"/>
    <sheet name="PUSHMODEL" sheetId="5" r:id="rId5"/>
    <sheet name="PRICENONCONDITIONAL" sheetId="6" r:id="rId6"/>
    <sheet name="PRICERUNNING" sheetId="7" r:id="rId7"/>
    <sheet name="PRICELIQUIDATION" sheetId="8" r:id="rId8"/>
    <sheet name="PRICEPUSHMODEL" sheetId="9" r:id="rId9"/>
  </sheets>
  <definedNames>
    <definedName name="_50寸及以上" localSheetId="0">#REF!</definedName>
    <definedName name="_50寸及以上">#REF!</definedName>
    <definedName name="_xlnm.Print_Area" localSheetId="0">INCENTIVEFORM!$A$1:$Q$123</definedName>
    <definedName name="REYMAN" localSheetId="0">#REF!</definedName>
    <definedName name="REYMAN">#REF!</definedName>
    <definedName name="Rose" localSheetId="0">#REF!</definedName>
    <definedName name="Rose">#REF!</definedName>
    <definedName name="SM3.3" localSheetId="0">#REF!</definedName>
    <definedName name="SM3.3">#REF!</definedName>
    <definedName name="W" localSheetId="0">#REF!</definedName>
    <definedName name="W">#REF!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1" l="1"/>
  <c r="M15" i="1"/>
  <c r="M16" i="1"/>
  <c r="M17" i="1"/>
  <c r="M18" i="1"/>
  <c r="M19" i="1"/>
  <c r="M20" i="1"/>
  <c r="M21" i="1"/>
  <c r="M22" i="1"/>
  <c r="M23" i="1"/>
  <c r="M24" i="1"/>
  <c r="M25" i="1"/>
  <c r="M26" i="1"/>
  <c r="M27" i="1"/>
  <c r="M28" i="1"/>
  <c r="M29" i="1"/>
  <c r="M30" i="1"/>
  <c r="M31" i="1"/>
  <c r="M32" i="1"/>
  <c r="M33" i="1"/>
  <c r="M34" i="1"/>
  <c r="M35" i="1"/>
  <c r="M36" i="1"/>
  <c r="C71" i="1"/>
  <c r="C72" i="1"/>
  <c r="C73" i="1"/>
  <c r="C74" i="1"/>
  <c r="C75" i="1"/>
  <c r="C76" i="1"/>
  <c r="C77" i="1"/>
  <c r="C78" i="1"/>
  <c r="C79" i="1"/>
  <c r="C80" i="1"/>
  <c r="C81" i="1"/>
  <c r="C82" i="1"/>
  <c r="C83" i="1"/>
  <c r="C84" i="1"/>
  <c r="C85" i="1"/>
  <c r="C86" i="1"/>
  <c r="C50" i="1"/>
  <c r="C51" i="1"/>
  <c r="C52" i="1"/>
  <c r="C53" i="1"/>
  <c r="C54" i="1"/>
  <c r="C55" i="1"/>
  <c r="C56" i="1"/>
  <c r="C57" i="1"/>
  <c r="C58" i="1"/>
  <c r="C59" i="1"/>
  <c r="C60" i="1"/>
  <c r="C61" i="1"/>
  <c r="C62" i="1"/>
  <c r="C63" i="1"/>
  <c r="C32" i="1"/>
  <c r="C33" i="1"/>
  <c r="C34" i="1"/>
  <c r="C35" i="1"/>
  <c r="C36" i="1"/>
  <c r="C37" i="1"/>
  <c r="C38" i="1"/>
  <c r="C39" i="1"/>
  <c r="C14" i="1"/>
  <c r="C15" i="1"/>
  <c r="C16" i="1"/>
  <c r="C17" i="1"/>
  <c r="C18" i="1"/>
  <c r="C19" i="1"/>
  <c r="C20" i="1"/>
  <c r="C21" i="1"/>
  <c r="C22" i="1"/>
  <c r="C23" i="1"/>
  <c r="C24" i="1"/>
  <c r="C25" i="1"/>
  <c r="C26" i="1"/>
  <c r="M13" i="1"/>
  <c r="C70" i="1"/>
  <c r="C49" i="1"/>
  <c r="C31" i="1"/>
  <c r="D31" i="1"/>
  <c r="C13" i="1"/>
  <c r="N14" i="1"/>
  <c r="N15" i="1"/>
  <c r="N16" i="1"/>
  <c r="N17" i="1"/>
  <c r="N18" i="1"/>
  <c r="N19" i="1"/>
  <c r="N20" i="1"/>
  <c r="N21" i="1"/>
  <c r="N22" i="1"/>
  <c r="N23" i="1"/>
  <c r="N24" i="1"/>
  <c r="N25" i="1"/>
  <c r="N26" i="1"/>
  <c r="N27" i="1"/>
  <c r="N28" i="1"/>
  <c r="N29" i="1"/>
  <c r="Q29" i="1"/>
  <c r="N30" i="1"/>
  <c r="N31" i="1"/>
  <c r="N32" i="1"/>
  <c r="N33" i="1"/>
  <c r="N34" i="1"/>
  <c r="N35" i="1"/>
  <c r="N36" i="1"/>
  <c r="D71" i="1"/>
  <c r="D72" i="1"/>
  <c r="D73" i="1"/>
  <c r="D74" i="1"/>
  <c r="D75" i="1"/>
  <c r="D76" i="1"/>
  <c r="D77" i="1"/>
  <c r="D78" i="1"/>
  <c r="D79" i="1"/>
  <c r="D80" i="1"/>
  <c r="D81" i="1"/>
  <c r="I81" i="1"/>
  <c r="D82" i="1"/>
  <c r="D83" i="1"/>
  <c r="D84" i="1"/>
  <c r="D85" i="1"/>
  <c r="D86" i="1"/>
  <c r="D70" i="1"/>
  <c r="N13" i="1"/>
  <c r="D50" i="1"/>
  <c r="D51" i="1"/>
  <c r="D52" i="1"/>
  <c r="D53" i="1"/>
  <c r="D54" i="1"/>
  <c r="D55" i="1"/>
  <c r="D56" i="1"/>
  <c r="D57" i="1"/>
  <c r="D58" i="1"/>
  <c r="D59" i="1"/>
  <c r="D60" i="1"/>
  <c r="D61" i="1"/>
  <c r="D62" i="1"/>
  <c r="D63" i="1"/>
  <c r="D49" i="1"/>
  <c r="D32" i="1"/>
  <c r="D33" i="1"/>
  <c r="D34" i="1"/>
  <c r="D35" i="1"/>
  <c r="D36" i="1"/>
  <c r="D37" i="1"/>
  <c r="D38" i="1"/>
  <c r="D39" i="1"/>
  <c r="D14" i="1"/>
  <c r="D15" i="1"/>
  <c r="D16" i="1"/>
  <c r="D17" i="1"/>
  <c r="D18" i="1"/>
  <c r="D19" i="1"/>
  <c r="D20" i="1"/>
  <c r="D21" i="1"/>
  <c r="D22" i="1"/>
  <c r="D23" i="1"/>
  <c r="D24" i="1"/>
  <c r="D25" i="1"/>
  <c r="D26" i="1"/>
  <c r="D13" i="1"/>
  <c r="Q104" i="1"/>
  <c r="Q102" i="1"/>
  <c r="I96" i="1"/>
  <c r="I94" i="1"/>
  <c r="Q80" i="1"/>
  <c r="M80" i="1"/>
  <c r="Q78" i="1"/>
  <c r="H38" i="1"/>
  <c r="Q17" i="1"/>
  <c r="Q30" i="1"/>
  <c r="Q19" i="1"/>
  <c r="Q20" i="1"/>
  <c r="Q22" i="1"/>
  <c r="Q35" i="1"/>
  <c r="Q26" i="1"/>
  <c r="Q14" i="1"/>
  <c r="Q27" i="1"/>
  <c r="Q28" i="1"/>
  <c r="Q18" i="1"/>
  <c r="Q33" i="1"/>
  <c r="Q34" i="1"/>
  <c r="Q25" i="1"/>
  <c r="Q36" i="1"/>
  <c r="I83" i="1"/>
  <c r="H70" i="1"/>
  <c r="I75" i="1"/>
  <c r="I77" i="1"/>
  <c r="I85" i="1"/>
  <c r="I49" i="1"/>
  <c r="H49" i="1"/>
  <c r="I57" i="1"/>
  <c r="H83" i="1"/>
  <c r="P28" i="1"/>
  <c r="Q13" i="1"/>
  <c r="I58" i="1"/>
  <c r="H24" i="1"/>
  <c r="H56" i="1"/>
  <c r="I70" i="1"/>
  <c r="P15" i="1"/>
  <c r="P27" i="1"/>
  <c r="H18" i="1"/>
  <c r="P19" i="1"/>
  <c r="P29" i="1"/>
  <c r="I59" i="1"/>
  <c r="H21" i="1"/>
  <c r="P21" i="1"/>
  <c r="I56" i="1"/>
  <c r="P20" i="1"/>
  <c r="P30" i="1"/>
  <c r="I62" i="1"/>
  <c r="I54" i="1"/>
  <c r="I60" i="1"/>
  <c r="I52" i="1"/>
  <c r="I63" i="1"/>
  <c r="I55" i="1"/>
  <c r="I61" i="1"/>
  <c r="I53" i="1"/>
  <c r="H60" i="1"/>
  <c r="H52" i="1"/>
  <c r="H61" i="1"/>
  <c r="H53" i="1"/>
  <c r="P13" i="1"/>
  <c r="P22" i="1"/>
  <c r="I50" i="1"/>
  <c r="P33" i="1"/>
  <c r="P16" i="1"/>
  <c r="I51" i="1"/>
  <c r="H74" i="1"/>
  <c r="I72" i="1"/>
  <c r="I80" i="1"/>
  <c r="Q15" i="1"/>
  <c r="Q23" i="1"/>
  <c r="Q31" i="1"/>
  <c r="Q16" i="1"/>
  <c r="Q24" i="1"/>
  <c r="Q32" i="1"/>
  <c r="H32" i="1"/>
  <c r="I74" i="1"/>
  <c r="I82" i="1"/>
  <c r="H86" i="1"/>
  <c r="I76" i="1"/>
  <c r="I84" i="1"/>
  <c r="I78" i="1"/>
  <c r="I86" i="1"/>
  <c r="Q21" i="1"/>
  <c r="H37" i="1"/>
  <c r="H73" i="1"/>
  <c r="H81" i="1"/>
  <c r="I71" i="1"/>
  <c r="I79" i="1"/>
  <c r="I73" i="1"/>
  <c r="H33" i="1"/>
  <c r="H31" i="1"/>
  <c r="P17" i="1"/>
  <c r="P18" i="1"/>
  <c r="P25" i="1"/>
  <c r="P34" i="1"/>
  <c r="P35" i="1"/>
  <c r="P36" i="1"/>
  <c r="P14" i="1"/>
  <c r="P23" i="1"/>
  <c r="P26" i="1"/>
  <c r="H85" i="1"/>
  <c r="H77" i="1"/>
  <c r="H75" i="1"/>
  <c r="H59" i="1"/>
  <c r="H26" i="1"/>
  <c r="H17" i="1"/>
  <c r="H19" i="1"/>
  <c r="H13" i="1"/>
  <c r="H23" i="1"/>
  <c r="H76" i="1"/>
  <c r="H80" i="1"/>
  <c r="H62" i="1"/>
  <c r="H15" i="1"/>
  <c r="H16" i="1"/>
  <c r="Q37" i="1"/>
  <c r="O65" i="1"/>
  <c r="I87" i="1"/>
  <c r="O69" i="1"/>
  <c r="D87" i="1"/>
  <c r="H57" i="1"/>
  <c r="H72" i="1"/>
  <c r="P24" i="1"/>
  <c r="H39" i="1"/>
  <c r="H55" i="1"/>
  <c r="H25" i="1"/>
  <c r="D40" i="1"/>
  <c r="I35" i="1"/>
  <c r="I64" i="1"/>
  <c r="O67" i="1"/>
  <c r="H79" i="1"/>
  <c r="H82" i="1"/>
  <c r="H50" i="1"/>
  <c r="H78" i="1"/>
  <c r="P32" i="1"/>
  <c r="H63" i="1"/>
  <c r="H71" i="1"/>
  <c r="D64" i="1"/>
  <c r="N37" i="1"/>
  <c r="H51" i="1"/>
  <c r="H20" i="1"/>
  <c r="H58" i="1"/>
  <c r="H35" i="1"/>
  <c r="H84" i="1"/>
  <c r="H36" i="1"/>
  <c r="H22" i="1"/>
  <c r="H54" i="1"/>
  <c r="P31" i="1"/>
  <c r="D27" i="1"/>
  <c r="I23" i="1"/>
  <c r="H14" i="1"/>
  <c r="H34" i="1"/>
  <c r="P37" i="1"/>
  <c r="M65" i="1"/>
  <c r="H64" i="1"/>
  <c r="M67" i="1"/>
  <c r="O71" i="1"/>
  <c r="I33" i="1"/>
  <c r="I18" i="1"/>
  <c r="H27" i="1"/>
  <c r="I24" i="1"/>
  <c r="I22" i="1"/>
  <c r="I15" i="1"/>
  <c r="I13" i="1"/>
  <c r="I14" i="1"/>
  <c r="I17" i="1"/>
  <c r="H40" i="1"/>
  <c r="I19" i="1"/>
  <c r="I26" i="1"/>
  <c r="I39" i="1"/>
  <c r="I21" i="1"/>
  <c r="I25" i="1"/>
  <c r="I20" i="1"/>
  <c r="I34" i="1"/>
  <c r="I36" i="1"/>
  <c r="I31" i="1"/>
  <c r="I32" i="1"/>
  <c r="D42" i="1"/>
  <c r="M75" i="1"/>
  <c r="I37" i="1"/>
  <c r="I38" i="1"/>
  <c r="H87" i="1"/>
  <c r="M69" i="1"/>
  <c r="I16" i="1"/>
  <c r="H42" i="1"/>
  <c r="M63" i="1"/>
  <c r="M71" i="1"/>
  <c r="I27" i="1"/>
  <c r="I40" i="1"/>
  <c r="I42" i="1"/>
  <c r="Q106" i="1"/>
  <c r="Q82" i="1"/>
  <c r="I98" i="1"/>
  <c r="M95" i="1"/>
  <c r="C108" i="1"/>
  <c r="M114" i="1"/>
</calcChain>
</file>

<file path=xl/sharedStrings.xml><?xml version="1.0" encoding="utf-8"?>
<sst xmlns="http://schemas.openxmlformats.org/spreadsheetml/2006/main" count="391" uniqueCount="159">
  <si>
    <t>Promoter Incentive Form</t>
  </si>
  <si>
    <t>Store Level/ Class</t>
  </si>
  <si>
    <t>DEALER</t>
  </si>
  <si>
    <t>Branch</t>
  </si>
  <si>
    <t>Name of Promoter</t>
  </si>
  <si>
    <t>Employment Status</t>
  </si>
  <si>
    <t>Agency</t>
  </si>
  <si>
    <t>Marketing Coor</t>
  </si>
  <si>
    <t>Mobile No.</t>
  </si>
  <si>
    <t>Branch Code</t>
  </si>
  <si>
    <t>A. NON-CONDITION MODEL</t>
  </si>
  <si>
    <t>B. PUSH MODEL</t>
  </si>
  <si>
    <t>MODEL</t>
  </si>
  <si>
    <t>CASH PRICE</t>
  </si>
  <si>
    <t>QTY. SOLD</t>
  </si>
  <si>
    <t>INCENTIVE PER UNIT</t>
  </si>
  <si>
    <t>TOTAL AMOUNT</t>
  </si>
  <si>
    <t>TOTAL INCENTIVE</t>
  </si>
  <si>
    <t>10 units</t>
  </si>
  <si>
    <t>20 Units</t>
  </si>
  <si>
    <t>50QE72G</t>
  </si>
  <si>
    <t>43GE7300</t>
  </si>
  <si>
    <t>50QE76G</t>
  </si>
  <si>
    <t>43QE72G</t>
  </si>
  <si>
    <t>50QE77G</t>
  </si>
  <si>
    <t>43SUF7200</t>
  </si>
  <si>
    <t>50SUE8000</t>
  </si>
  <si>
    <t>50GE7300</t>
  </si>
  <si>
    <t>55QE72G</t>
  </si>
  <si>
    <t>50GE7700</t>
  </si>
  <si>
    <t>55QE76G</t>
  </si>
  <si>
    <t>50SUF7200</t>
  </si>
  <si>
    <t>55QE77G</t>
  </si>
  <si>
    <t>50SUG7600</t>
  </si>
  <si>
    <t>55QF70G</t>
  </si>
  <si>
    <t>55GE7300</t>
  </si>
  <si>
    <t>55SUE8000</t>
  </si>
  <si>
    <t>55GE7700</t>
  </si>
  <si>
    <t>65QE72G</t>
  </si>
  <si>
    <t>55SUF7400</t>
  </si>
  <si>
    <t>65QE76G</t>
  </si>
  <si>
    <t>55SUF7200</t>
  </si>
  <si>
    <t>65QE77G</t>
  </si>
  <si>
    <t>55SUG7600</t>
  </si>
  <si>
    <t>65QM85G</t>
  </si>
  <si>
    <t>55QM80H</t>
  </si>
  <si>
    <t>65SUE8000</t>
  </si>
  <si>
    <t>65GE7300</t>
  </si>
  <si>
    <t>SUB-TOTAL</t>
  </si>
  <si>
    <t>65GE7700</t>
  </si>
  <si>
    <t>65SUF7200</t>
  </si>
  <si>
    <t xml:space="preserve">TOTAL INCENTIVE                 </t>
  </si>
  <si>
    <t>65SUG7600</t>
  </si>
  <si>
    <t>5 Units</t>
  </si>
  <si>
    <t>10 Units</t>
  </si>
  <si>
    <t>65QM80H</t>
  </si>
  <si>
    <t>75QE77G</t>
  </si>
  <si>
    <t>70SUE7800</t>
  </si>
  <si>
    <t>75QH90G</t>
  </si>
  <si>
    <t>75GE7700</t>
  </si>
  <si>
    <t>85QE77G</t>
  </si>
  <si>
    <t>75SUG7800</t>
  </si>
  <si>
    <t>85GE7700</t>
  </si>
  <si>
    <t>75QM80H</t>
  </si>
  <si>
    <t>86QM85H</t>
  </si>
  <si>
    <t>24LP80G</t>
  </si>
  <si>
    <t>86SUE7800</t>
  </si>
  <si>
    <t>32STG5900</t>
  </si>
  <si>
    <t>100SUG8800</t>
  </si>
  <si>
    <t>55LN70G</t>
  </si>
  <si>
    <t>65LN70G</t>
  </si>
  <si>
    <t>TERMS &amp; CONDITIONS IN CLAIMING INCENTIVE</t>
  </si>
  <si>
    <t>1.WRITE ALL the names of the Promoters in the branch</t>
  </si>
  <si>
    <t>GRAND TOTAL</t>
  </si>
  <si>
    <t>2.Warranty Cards should have COMPLETE CUSTOMER INFORMATION or it will be considered as VOID</t>
  </si>
  <si>
    <t>Automatic Incentive : Regardless if promoter hit the target or not, can get Incentive.</t>
  </si>
  <si>
    <t>3.All Warranty Cards should be visible &amp; clear, if not it will be void &amp; next time it will not be accepted</t>
  </si>
  <si>
    <t>C. RUNNING MODEL</t>
  </si>
  <si>
    <t>4.Promoters should arrange properly the Warranty Cards according to model based on the Incentive Form (penalty Php500)</t>
  </si>
  <si>
    <t>5.Failure to submit the attachments will have a penalty of Php500 (INCENTIVE FORM, TOP SHEET, LOGBOOK)</t>
  </si>
  <si>
    <t>32STE4000</t>
  </si>
  <si>
    <t>43STE4000</t>
  </si>
  <si>
    <t>6.Any form of alteration/tampering on the DATE OF PURCHASE will make the sale VOID, unless there are documents or signature from the store officer to validate the sale</t>
  </si>
  <si>
    <t>32GT5500</t>
  </si>
  <si>
    <t>32STG5500</t>
  </si>
  <si>
    <t>7.Late Submission of Warranty cards, a penalty of 20% from the total incentive (beyond 11th of the month consider as LATE)</t>
  </si>
  <si>
    <t>32STE5500</t>
  </si>
  <si>
    <t>8.Each promoter should submit the warranty cards monthly. Failure to do so, the next month warranty cards are automatically void. Ex: January Report is none, the month of February is considered as zero incentive but the sales achievement still counted for sellout data collection &amp; analysis purposes</t>
  </si>
  <si>
    <t>40GT5500</t>
  </si>
  <si>
    <t>40STG5500</t>
  </si>
  <si>
    <t>40STE5500</t>
  </si>
  <si>
    <t>9.Sales Promoter is required to use the SELL OUT SYSTEM, sell out will be validated based on the sellout system. Failure to scan or encode the warranty cards of Sales Promoter, the incentive claim will be subjected for cancellation</t>
  </si>
  <si>
    <t>43GT5500</t>
  </si>
  <si>
    <t>43STG5500</t>
  </si>
  <si>
    <t>10. If manipulation of warranty cards is caught, the company will cancel all the incentives for that specific month and promoter will be given a proper sanction up to Dismissal</t>
  </si>
  <si>
    <t>43STE5500</t>
  </si>
  <si>
    <t>32QF62G</t>
  </si>
  <si>
    <t>32QF55G</t>
  </si>
  <si>
    <t>INCENTIVE TYPE</t>
  </si>
  <si>
    <t>TOTAL SALES</t>
  </si>
  <si>
    <t>VERIFICATION</t>
  </si>
  <si>
    <t>40QF55G</t>
  </si>
  <si>
    <t>43QF55G</t>
  </si>
  <si>
    <t>NON CONDITION MODEL</t>
  </si>
  <si>
    <t>automatic incentive</t>
  </si>
  <si>
    <t>PUSH MODEL</t>
  </si>
  <si>
    <t>D. EXISTING/ LIQUIDATION MODEL</t>
  </si>
  <si>
    <t>RUNNING MODEL</t>
  </si>
  <si>
    <t>LIQUIDATION MODEL</t>
  </si>
  <si>
    <t>32STD4000</t>
  </si>
  <si>
    <t>32STD5500</t>
  </si>
  <si>
    <t>GROSS TOTAL</t>
  </si>
  <si>
    <t>40STD5500</t>
  </si>
  <si>
    <t>43STD5500</t>
  </si>
  <si>
    <t>43STD4000</t>
  </si>
  <si>
    <t>43SUD7100</t>
  </si>
  <si>
    <t>TOTAL QTY:</t>
  </si>
  <si>
    <t>50SUD7100</t>
  </si>
  <si>
    <t>SALES AMOUNT</t>
  </si>
  <si>
    <t>50SUD7500</t>
  </si>
  <si>
    <t>55SUD7100</t>
  </si>
  <si>
    <t>MINIMUM</t>
  </si>
  <si>
    <t>70 % of MIN TARGET</t>
  </si>
  <si>
    <t>55SUD7500</t>
  </si>
  <si>
    <t>55SUD8500</t>
  </si>
  <si>
    <t>110% of MIN TARGET</t>
  </si>
  <si>
    <t>80 % of MIN TARGET</t>
  </si>
  <si>
    <t>65SUD7100</t>
  </si>
  <si>
    <t>65SUD7500</t>
  </si>
  <si>
    <t>ADJUSTMENT PERCENTAGE</t>
  </si>
  <si>
    <t>LESS THAN (&lt; ) 70%</t>
  </si>
  <si>
    <t>65SUD8500</t>
  </si>
  <si>
    <t>50SUE7600</t>
  </si>
  <si>
    <t>GREATER THAN OR EQUAL TO (≥ ) 70% (&lt;) 80%</t>
  </si>
  <si>
    <t>55SUE7600</t>
  </si>
  <si>
    <t>65SUE7600</t>
  </si>
  <si>
    <t>GREATER THAN OR EQUAL TO (≥) 80% (&lt;) 100%</t>
  </si>
  <si>
    <t>GREATER THAN OR EQUAL TO (≥ ) MINIMUM TARGET</t>
  </si>
  <si>
    <t>GREATER THAN OR EQUAL TO (≥) 110 % of MIN TARGET</t>
  </si>
  <si>
    <t>50 % of MIN TARGET</t>
  </si>
  <si>
    <t>NET INCENTIVE</t>
  </si>
  <si>
    <t>Store with &lt;1M Target with &gt;70%,</t>
  </si>
  <si>
    <t>LESS THAN (&lt; ) 50%</t>
  </si>
  <si>
    <t>GREATER THAN OR EQUAL TO (≥ ) 50% (&lt;) 70%</t>
  </si>
  <si>
    <t>Promoter QTY</t>
  </si>
  <si>
    <t>Store with ≥1M Target with ≥ 50% to &lt;70%, fixed 1000 per promoter  + Automatic Incentive</t>
  </si>
  <si>
    <t>Store with 450k Target with ≥ 50% to &lt;70%, fixed 500, No Automatic Incentive</t>
  </si>
  <si>
    <t>Store with &lt;1M Target with ≥ 50% to &lt;70%, fixed 500 + Automatic Incentive</t>
  </si>
  <si>
    <t>CHECKED BY:</t>
  </si>
  <si>
    <t>NOTED BY</t>
  </si>
  <si>
    <t>_______________________________________________</t>
  </si>
  <si>
    <t>________________________________________________</t>
  </si>
  <si>
    <t>______________________________________________</t>
  </si>
  <si>
    <t>MARKETING COORDINATOR</t>
  </si>
  <si>
    <t>MARKETING / HR ASSISTANT</t>
  </si>
  <si>
    <t>FINANCE DEPT.</t>
  </si>
  <si>
    <t>CONFIRMED BY:</t>
  </si>
  <si>
    <t>________________________________________________________</t>
  </si>
  <si>
    <t>NOTED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</si>
</sst>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Aptos Narrow"/>
      <family val="2"/>
      <scheme val="minor"/>
    </font>
    <font>
      <sz val="11"/>
      <color theme="1"/>
      <name val="Aptos Narrow"/>
      <family val="2"/>
      <scheme val="minor"/>
    </font>
    <font>
      <b/>
      <sz val="14"/>
      <color theme="1"/>
      <name val="Century Gothic"/>
      <family val="2"/>
    </font>
    <font>
      <b/>
      <sz val="16"/>
      <color theme="1"/>
      <name val="Century Gothic"/>
      <family val="2"/>
    </font>
    <font>
      <b/>
      <sz val="14"/>
      <name val="Century Gothic"/>
      <family val="2"/>
    </font>
    <font>
      <b/>
      <u/>
      <sz val="14"/>
      <color theme="1"/>
      <name val="Century Gothic"/>
      <family val="2"/>
    </font>
    <font>
      <sz val="14"/>
      <color theme="1"/>
      <name val="Century Gothic"/>
      <family val="2"/>
    </font>
    <font>
      <b/>
      <sz val="14"/>
      <color rgb="FFFF0000"/>
      <name val="Century Gothic"/>
      <family val="2"/>
    </font>
    <font>
      <b/>
      <i/>
      <sz val="14"/>
      <color rgb="FFFF0000"/>
      <name val="Century Gothic"/>
      <family val="2"/>
    </font>
    <font>
      <sz val="14"/>
      <color rgb="FFFF0000"/>
      <name val="Century Gothic"/>
      <family val="2"/>
    </font>
    <font>
      <b/>
      <sz val="20"/>
      <color theme="1"/>
      <name val="Century Gothic"/>
      <family val="2"/>
    </font>
    <font>
      <b/>
      <sz val="18"/>
      <color theme="1"/>
      <name val="Century Gothic"/>
      <family val="2"/>
    </font>
    <font>
      <sz val="14"/>
      <name val="Century Gothic"/>
      <family val="2"/>
    </font>
    <font>
      <b/>
      <sz val="14"/>
      <color theme="1"/>
      <name val="Century Gothic"/>
      <family val="2"/>
    </font>
    <font>
      <sz val="10"/>
      <color theme="1"/>
      <name val="Aptos Narrow"/>
      <family val="2"/>
      <scheme val="minor"/>
    </font>
    <font>
      <b/>
      <sz val="10"/>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99FF66"/>
        <bgColor indexed="64"/>
      </patternFill>
    </fill>
  </fills>
  <borders count="64">
    <border>
      <left/>
      <right/>
      <top/>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top/>
      <bottom style="medium">
        <color auto="1"/>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style="medium">
        <color auto="1"/>
      </right>
      <top/>
      <bottom style="thin">
        <color auto="1"/>
      </bottom>
      <diagonal/>
    </border>
    <border>
      <left style="thin">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medium">
        <color auto="1"/>
      </right>
      <top/>
      <bottom/>
      <diagonal/>
    </border>
    <border>
      <left/>
      <right style="thin">
        <color auto="1"/>
      </right>
      <top style="medium">
        <color auto="1"/>
      </top>
      <bottom style="thin">
        <color auto="1"/>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bottom style="thin">
        <color auto="1"/>
      </bottom>
      <diagonal/>
    </border>
    <border>
      <left/>
      <right/>
      <top style="medium">
        <color auto="1"/>
      </top>
      <bottom/>
      <diagonal/>
    </border>
    <border>
      <left/>
      <right style="thin">
        <color auto="1"/>
      </right>
      <top style="medium">
        <color auto="1"/>
      </top>
      <bottom/>
      <diagonal/>
    </border>
    <border>
      <left/>
      <right/>
      <top/>
      <bottom style="medium">
        <color auto="1"/>
      </bottom>
      <diagonal/>
    </border>
    <border>
      <left/>
      <right style="thin">
        <color auto="1"/>
      </right>
      <top/>
      <bottom style="medium">
        <color auto="1"/>
      </bottom>
      <diagonal/>
    </border>
    <border>
      <left style="medium">
        <color auto="1"/>
      </left>
      <right/>
      <top/>
      <bottom style="medium">
        <color auto="1"/>
      </bottom>
      <diagonal/>
    </border>
    <border>
      <left/>
      <right style="medium">
        <color auto="1"/>
      </right>
      <top style="medium">
        <color auto="1"/>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bottom/>
      <diagonal/>
    </border>
    <border>
      <left/>
      <right style="thin">
        <color auto="1"/>
      </right>
      <top/>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medium">
        <color auto="1"/>
      </left>
      <right/>
      <top/>
      <bottom/>
      <diagonal/>
    </border>
    <border>
      <left style="thin">
        <color auto="1"/>
      </left>
      <right style="medium">
        <color auto="1"/>
      </right>
      <top style="medium">
        <color auto="1"/>
      </top>
      <bottom style="medium">
        <color auto="1"/>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medium">
        <color auto="1"/>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medium">
        <color auto="1"/>
      </left>
      <right style="medium">
        <color auto="1"/>
      </right>
      <top style="medium">
        <color auto="1"/>
      </top>
      <bottom style="thin">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top style="medium">
        <color auto="1"/>
      </top>
      <bottom style="medium">
        <color auto="1"/>
      </bottom>
      <diagonal/>
    </border>
  </borders>
  <cellStyleXfs count="3">
    <xf numFmtId="0" fontId="0" fillId="0" borderId="0"/>
    <xf numFmtId="0" fontId="1" fillId="0" borderId="0"/>
    <xf numFmtId="43" fontId="1" fillId="0" borderId="0"/>
  </cellStyleXfs>
  <cellXfs count="160">
    <xf numFmtId="0" fontId="0" fillId="0" borderId="0" xfId="0"/>
    <xf numFmtId="0" fontId="2" fillId="0" borderId="0" xfId="1" applyFont="1" applyAlignment="1">
      <alignment vertical="center"/>
    </xf>
    <xf numFmtId="0" fontId="2" fillId="0" borderId="0" xfId="1" applyFont="1" applyAlignment="1">
      <alignment horizontal="center" vertical="center"/>
    </xf>
    <xf numFmtId="43" fontId="2" fillId="0" borderId="1" xfId="2" applyFont="1" applyBorder="1" applyAlignment="1">
      <alignment horizontal="left" vertical="center"/>
    </xf>
    <xf numFmtId="0" fontId="2" fillId="0" borderId="0" xfId="1" applyFont="1" applyAlignment="1">
      <alignment horizontal="left" vertical="center"/>
    </xf>
    <xf numFmtId="0" fontId="5" fillId="0" borderId="0" xfId="1" applyFont="1" applyAlignment="1">
      <alignment vertical="center"/>
    </xf>
    <xf numFmtId="43" fontId="2" fillId="0" borderId="2" xfId="2" applyFont="1" applyBorder="1" applyAlignment="1">
      <alignment horizontal="left" vertical="center"/>
    </xf>
    <xf numFmtId="43" fontId="2" fillId="0" borderId="0" xfId="2" applyFont="1" applyAlignment="1">
      <alignment vertical="center"/>
    </xf>
    <xf numFmtId="0" fontId="6" fillId="0" borderId="0" xfId="1" applyFont="1" applyAlignment="1">
      <alignment vertical="center"/>
    </xf>
    <xf numFmtId="0" fontId="4" fillId="0" borderId="0" xfId="1" applyFont="1" applyAlignment="1">
      <alignment horizontal="center" vertical="center"/>
    </xf>
    <xf numFmtId="43" fontId="2" fillId="0" borderId="0" xfId="2" applyFont="1" applyAlignment="1">
      <alignment horizontal="left" vertical="center"/>
    </xf>
    <xf numFmtId="0" fontId="7" fillId="0" borderId="0" xfId="1" applyFont="1" applyAlignment="1">
      <alignment horizontal="left" vertical="center"/>
    </xf>
    <xf numFmtId="0" fontId="6" fillId="0" borderId="0" xfId="1" applyFont="1" applyAlignment="1">
      <alignment horizontal="center" vertical="center"/>
    </xf>
    <xf numFmtId="0" fontId="2" fillId="0" borderId="0" xfId="1" applyFont="1" applyAlignment="1">
      <alignment horizontal="center" vertical="center" wrapText="1"/>
    </xf>
    <xf numFmtId="0" fontId="7" fillId="2" borderId="10" xfId="1" applyFont="1" applyFill="1" applyBorder="1" applyAlignment="1">
      <alignment horizontal="center" vertical="center" wrapText="1"/>
    </xf>
    <xf numFmtId="0" fontId="7" fillId="2" borderId="8" xfId="1" applyFont="1" applyFill="1" applyBorder="1" applyAlignment="1">
      <alignment horizontal="center" vertical="center" wrapText="1"/>
    </xf>
    <xf numFmtId="0" fontId="4" fillId="0" borderId="11" xfId="1" applyFont="1" applyBorder="1" applyAlignment="1">
      <alignment horizontal="center" vertical="center"/>
    </xf>
    <xf numFmtId="0" fontId="4" fillId="0" borderId="12" xfId="1" applyFont="1" applyBorder="1" applyAlignment="1">
      <alignment horizontal="center" vertical="center"/>
    </xf>
    <xf numFmtId="0" fontId="4" fillId="0" borderId="13" xfId="1" applyFont="1" applyBorder="1" applyAlignment="1">
      <alignment horizontal="center" vertical="center"/>
    </xf>
    <xf numFmtId="0" fontId="2" fillId="0" borderId="12" xfId="1" applyFont="1" applyBorder="1" applyAlignment="1">
      <alignment horizontal="center" vertical="center"/>
    </xf>
    <xf numFmtId="0" fontId="2" fillId="0" borderId="14" xfId="1" applyFont="1" applyBorder="1" applyAlignment="1">
      <alignment horizontal="center" vertical="center"/>
    </xf>
    <xf numFmtId="0" fontId="4" fillId="0" borderId="15" xfId="1" applyFont="1" applyBorder="1" applyAlignment="1">
      <alignment horizontal="center" vertical="center"/>
    </xf>
    <xf numFmtId="0" fontId="4" fillId="0" borderId="16" xfId="1" applyFont="1" applyBorder="1" applyAlignment="1">
      <alignment horizontal="center" vertical="center"/>
    </xf>
    <xf numFmtId="0" fontId="2" fillId="0" borderId="18" xfId="1" applyFont="1" applyBorder="1" applyAlignment="1">
      <alignment horizontal="center" vertical="center"/>
    </xf>
    <xf numFmtId="0" fontId="4" fillId="0" borderId="18" xfId="1" applyFont="1" applyBorder="1" applyAlignment="1">
      <alignment horizontal="center" vertical="center"/>
    </xf>
    <xf numFmtId="0" fontId="4" fillId="0" borderId="20" xfId="1" applyFont="1" applyBorder="1" applyAlignment="1">
      <alignment horizontal="center" vertical="center"/>
    </xf>
    <xf numFmtId="0" fontId="4" fillId="0" borderId="22" xfId="1" applyFont="1" applyBorder="1" applyAlignment="1">
      <alignment horizontal="center" vertical="center"/>
    </xf>
    <xf numFmtId="0" fontId="3" fillId="3" borderId="28" xfId="1" applyFont="1" applyFill="1" applyBorder="1" applyAlignment="1">
      <alignment horizontal="center" vertical="center"/>
    </xf>
    <xf numFmtId="0" fontId="3" fillId="3" borderId="32" xfId="1" applyFont="1" applyFill="1" applyBorder="1" applyAlignment="1">
      <alignment horizontal="center" vertical="center"/>
    </xf>
    <xf numFmtId="0" fontId="8" fillId="0" borderId="0" xfId="1" applyFont="1" applyAlignment="1">
      <alignment horizontal="left" vertical="center"/>
    </xf>
    <xf numFmtId="0" fontId="3" fillId="0" borderId="0" xfId="1" applyFont="1" applyAlignment="1">
      <alignment horizontal="center" vertical="center"/>
    </xf>
    <xf numFmtId="0" fontId="2" fillId="0" borderId="13" xfId="1" applyFont="1" applyBorder="1" applyAlignment="1">
      <alignment horizontal="center" vertical="center"/>
    </xf>
    <xf numFmtId="0" fontId="2" fillId="0" borderId="19" xfId="1" applyFont="1" applyBorder="1" applyAlignment="1">
      <alignment horizontal="center" vertical="center"/>
    </xf>
    <xf numFmtId="0" fontId="6" fillId="0" borderId="0" xfId="1" applyFont="1" applyAlignment="1">
      <alignment horizontal="left" vertical="center"/>
    </xf>
    <xf numFmtId="0" fontId="6" fillId="0" borderId="0" xfId="1" applyFont="1" applyAlignment="1">
      <alignment horizontal="left" vertical="center" wrapText="1"/>
    </xf>
    <xf numFmtId="0" fontId="2" fillId="0" borderId="21" xfId="1" applyFont="1" applyBorder="1" applyAlignment="1">
      <alignment horizontal="center" vertical="center"/>
    </xf>
    <xf numFmtId="0" fontId="2" fillId="0" borderId="25" xfId="1" applyFont="1" applyBorder="1" applyAlignment="1">
      <alignment horizontal="center" vertical="center"/>
    </xf>
    <xf numFmtId="1" fontId="2" fillId="0" borderId="27" xfId="1" applyNumberFormat="1" applyFont="1" applyBorder="1" applyAlignment="1">
      <alignment horizontal="center" vertical="center"/>
    </xf>
    <xf numFmtId="0" fontId="12" fillId="0" borderId="0" xfId="1" applyFont="1" applyAlignment="1">
      <alignment vertical="center"/>
    </xf>
    <xf numFmtId="0" fontId="7" fillId="0" borderId="0" xfId="1" applyFont="1" applyAlignment="1">
      <alignment vertical="center"/>
    </xf>
    <xf numFmtId="0" fontId="2" fillId="0" borderId="43" xfId="1" applyFont="1" applyBorder="1" applyAlignment="1">
      <alignment horizontal="center" vertical="center" wrapText="1"/>
    </xf>
    <xf numFmtId="0" fontId="6" fillId="0" borderId="0" xfId="1" applyFont="1" applyAlignment="1">
      <alignment horizontal="center" vertical="center" wrapText="1"/>
    </xf>
    <xf numFmtId="0" fontId="6" fillId="0" borderId="0" xfId="1" applyFont="1" applyAlignment="1">
      <alignment vertical="center" wrapText="1"/>
    </xf>
    <xf numFmtId="0" fontId="2" fillId="0" borderId="0" xfId="1" applyFont="1" applyAlignment="1">
      <alignment vertical="center" wrapText="1"/>
    </xf>
    <xf numFmtId="43" fontId="3" fillId="0" borderId="0" xfId="2" applyFont="1" applyAlignment="1">
      <alignment vertical="center"/>
    </xf>
    <xf numFmtId="43" fontId="10" fillId="0" borderId="0" xfId="2" applyFont="1" applyAlignment="1">
      <alignment vertical="center"/>
    </xf>
    <xf numFmtId="0" fontId="3" fillId="0" borderId="0" xfId="2" applyNumberFormat="1" applyFont="1" applyAlignment="1">
      <alignment vertical="center"/>
    </xf>
    <xf numFmtId="0" fontId="1" fillId="0" borderId="0" xfId="1"/>
    <xf numFmtId="0" fontId="13" fillId="0" borderId="0" xfId="1" applyFont="1" applyAlignment="1">
      <alignment vertical="center"/>
    </xf>
    <xf numFmtId="0" fontId="14" fillId="0" borderId="0" xfId="0" applyFont="1"/>
    <xf numFmtId="0" fontId="15" fillId="0" borderId="0" xfId="0" applyFont="1"/>
    <xf numFmtId="0" fontId="3" fillId="0" borderId="0" xfId="0" applyFont="1" applyAlignment="1">
      <alignment horizontal="center" vertical="center"/>
    </xf>
    <xf numFmtId="17" fontId="3" fillId="0" borderId="0" xfId="1" applyNumberFormat="1" applyFont="1" applyAlignment="1">
      <alignment horizontal="center" vertical="center"/>
    </xf>
    <xf numFmtId="0" fontId="16" fillId="2" borderId="0" xfId="0" applyFont="1" applyFill="1" applyAlignment="1">
      <alignment horizontal="center" vertical="center"/>
    </xf>
    <xf numFmtId="0" fontId="2" fillId="0" borderId="56" xfId="1" applyFont="1" applyBorder="1" applyAlignment="1">
      <alignment horizontal="center" vertical="center"/>
    </xf>
    <xf numFmtId="0" fontId="0" fillId="0" borderId="41" xfId="0" applyBorder="1"/>
    <xf numFmtId="0" fontId="0" fillId="0" borderId="16" xfId="0" applyBorder="1"/>
    <xf numFmtId="0" fontId="0" fillId="0" borderId="42" xfId="0" applyBorder="1"/>
    <xf numFmtId="0" fontId="2" fillId="0" borderId="55" xfId="1" applyFont="1" applyBorder="1" applyAlignment="1">
      <alignment horizontal="center" vertical="center"/>
    </xf>
    <xf numFmtId="0" fontId="0" fillId="0" borderId="23" xfId="0" applyBorder="1"/>
    <xf numFmtId="0" fontId="2" fillId="0" borderId="18" xfId="1" applyFont="1" applyBorder="1" applyAlignment="1">
      <alignment horizontal="center" vertical="center" wrapText="1"/>
    </xf>
    <xf numFmtId="0" fontId="12" fillId="0" borderId="0" xfId="1" applyFont="1" applyAlignment="1">
      <alignment vertical="center"/>
    </xf>
    <xf numFmtId="0" fontId="0" fillId="0" borderId="44" xfId="0" applyBorder="1"/>
    <xf numFmtId="0" fontId="0" fillId="0" borderId="22" xfId="0" applyBorder="1"/>
    <xf numFmtId="1" fontId="3" fillId="3" borderId="4" xfId="2" applyNumberFormat="1" applyFont="1" applyFill="1" applyBorder="1" applyAlignment="1">
      <alignment horizontal="center" vertical="center"/>
    </xf>
    <xf numFmtId="0" fontId="0" fillId="0" borderId="12" xfId="0" applyBorder="1"/>
    <xf numFmtId="0" fontId="4" fillId="0" borderId="16" xfId="1" applyFont="1" applyBorder="1" applyAlignment="1">
      <alignment horizontal="center" vertical="center"/>
    </xf>
    <xf numFmtId="0" fontId="0" fillId="0" borderId="2" xfId="0" applyBorder="1"/>
    <xf numFmtId="43" fontId="3" fillId="0" borderId="12" xfId="2" applyFont="1" applyBorder="1" applyAlignment="1">
      <alignment horizontal="center" vertical="center"/>
    </xf>
    <xf numFmtId="43" fontId="3" fillId="0" borderId="4" xfId="2" applyFont="1" applyBorder="1" applyAlignment="1">
      <alignment horizontal="center" vertical="center"/>
    </xf>
    <xf numFmtId="0" fontId="0" fillId="0" borderId="36" xfId="0" applyBorder="1"/>
    <xf numFmtId="43" fontId="3" fillId="0" borderId="13" xfId="2" applyFont="1" applyBorder="1" applyAlignment="1">
      <alignment horizontal="center" vertical="center"/>
    </xf>
    <xf numFmtId="0" fontId="0" fillId="0" borderId="51" xfId="0" applyBorder="1"/>
    <xf numFmtId="0" fontId="0" fillId="0" borderId="53" xfId="0" applyBorder="1"/>
    <xf numFmtId="0" fontId="0" fillId="0" borderId="54" xfId="0" applyBorder="1"/>
    <xf numFmtId="0" fontId="3" fillId="3" borderId="4" xfId="1" applyFont="1" applyFill="1" applyBorder="1" applyAlignment="1">
      <alignment horizontal="center" vertical="center"/>
    </xf>
    <xf numFmtId="0" fontId="2" fillId="2" borderId="3" xfId="1" applyFont="1" applyFill="1" applyBorder="1" applyAlignment="1">
      <alignment horizontal="center" vertical="center"/>
    </xf>
    <xf numFmtId="0" fontId="0" fillId="0" borderId="35" xfId="0" applyBorder="1"/>
    <xf numFmtId="0" fontId="0" fillId="0" borderId="34" xfId="0" applyBorder="1"/>
    <xf numFmtId="0" fontId="2" fillId="0" borderId="13" xfId="1" applyFont="1" applyBorder="1" applyAlignment="1">
      <alignment horizontal="center" vertical="center" wrapText="1"/>
    </xf>
    <xf numFmtId="0" fontId="0" fillId="0" borderId="50" xfId="0" applyBorder="1"/>
    <xf numFmtId="0" fontId="0" fillId="0" borderId="52" xfId="0" applyBorder="1"/>
    <xf numFmtId="0" fontId="2" fillId="2" borderId="59" xfId="1" applyFont="1" applyFill="1" applyBorder="1" applyAlignment="1">
      <alignment horizontal="center" vertical="center" wrapText="1"/>
    </xf>
    <xf numFmtId="0" fontId="0" fillId="0" borderId="32" xfId="0" applyBorder="1"/>
    <xf numFmtId="43" fontId="10" fillId="3" borderId="4" xfId="2" applyFont="1" applyFill="1" applyBorder="1" applyAlignment="1">
      <alignment horizontal="center" vertical="center"/>
    </xf>
    <xf numFmtId="0" fontId="0" fillId="0" borderId="29" xfId="0" applyBorder="1"/>
    <xf numFmtId="2" fontId="4" fillId="0" borderId="2" xfId="1" applyNumberFormat="1" applyFont="1" applyBorder="1" applyAlignment="1">
      <alignment horizontal="center" vertical="center"/>
    </xf>
    <xf numFmtId="0" fontId="3" fillId="3" borderId="13" xfId="1" applyFont="1" applyFill="1" applyBorder="1" applyAlignment="1">
      <alignment horizontal="center" vertical="center"/>
    </xf>
    <xf numFmtId="0" fontId="0" fillId="0" borderId="62" xfId="0" applyBorder="1"/>
    <xf numFmtId="0" fontId="2" fillId="0" borderId="15" xfId="1" applyFont="1" applyBorder="1" applyAlignment="1">
      <alignment horizontal="center" vertical="center"/>
    </xf>
    <xf numFmtId="0" fontId="0" fillId="0" borderId="11" xfId="0" applyBorder="1"/>
    <xf numFmtId="43" fontId="10" fillId="3" borderId="48" xfId="2" applyFont="1" applyFill="1" applyBorder="1" applyAlignment="1">
      <alignment horizontal="center" vertical="center"/>
    </xf>
    <xf numFmtId="0" fontId="0" fillId="0" borderId="40" xfId="0" applyBorder="1"/>
    <xf numFmtId="0" fontId="0" fillId="0" borderId="9" xfId="0" applyBorder="1"/>
    <xf numFmtId="0" fontId="0" fillId="0" borderId="37" xfId="0" applyBorder="1"/>
    <xf numFmtId="0" fontId="0" fillId="0" borderId="45" xfId="0" applyBorder="1"/>
    <xf numFmtId="0" fontId="3" fillId="3" borderId="7" xfId="2" applyNumberFormat="1" applyFont="1" applyFill="1" applyBorder="1" applyAlignment="1">
      <alignment horizontal="center" vertical="center"/>
    </xf>
    <xf numFmtId="0" fontId="0" fillId="0" borderId="14" xfId="0" applyBorder="1"/>
    <xf numFmtId="2" fontId="4" fillId="0" borderId="1" xfId="1" applyNumberFormat="1" applyFont="1" applyBorder="1" applyAlignment="1">
      <alignment horizontal="center" vertical="center"/>
    </xf>
    <xf numFmtId="0" fontId="2" fillId="2" borderId="4" xfId="1" applyFont="1" applyFill="1" applyBorder="1" applyAlignment="1">
      <alignment horizontal="center" vertical="center" wrapText="1"/>
    </xf>
    <xf numFmtId="0" fontId="6" fillId="0" borderId="15" xfId="1" applyFont="1" applyBorder="1" applyAlignment="1">
      <alignment horizontal="left" vertical="center" wrapText="1"/>
    </xf>
    <xf numFmtId="0" fontId="0" fillId="0" borderId="1" xfId="0" applyBorder="1"/>
    <xf numFmtId="0" fontId="0" fillId="0" borderId="26" xfId="0" applyBorder="1"/>
    <xf numFmtId="0" fontId="2" fillId="0" borderId="13" xfId="1" applyFont="1" applyBorder="1" applyAlignment="1">
      <alignment horizontal="center" vertical="center"/>
    </xf>
    <xf numFmtId="0" fontId="2" fillId="2" borderId="4" xfId="1" applyFont="1" applyFill="1" applyBorder="1" applyAlignment="1">
      <alignment horizontal="center" vertical="center"/>
    </xf>
    <xf numFmtId="0" fontId="0" fillId="0" borderId="38" xfId="0" applyBorder="1"/>
    <xf numFmtId="0" fontId="2" fillId="0" borderId="14" xfId="1" applyFont="1" applyBorder="1" applyAlignment="1">
      <alignment horizontal="center" vertical="center"/>
    </xf>
    <xf numFmtId="0" fontId="0" fillId="0" borderId="17" xfId="0" applyBorder="1"/>
    <xf numFmtId="0" fontId="6" fillId="0" borderId="0" xfId="1" applyFont="1" applyAlignment="1">
      <alignment horizontal="center" vertical="center" wrapText="1"/>
    </xf>
    <xf numFmtId="0" fontId="6" fillId="0" borderId="0" xfId="1" applyFont="1" applyAlignment="1">
      <alignment horizontal="center" vertical="center"/>
    </xf>
    <xf numFmtId="0" fontId="6" fillId="0" borderId="0" xfId="1" applyFont="1" applyAlignment="1">
      <alignment vertical="center"/>
    </xf>
    <xf numFmtId="0" fontId="2" fillId="0" borderId="0" xfId="1" applyFont="1" applyAlignment="1">
      <alignment horizontal="center" vertical="center"/>
    </xf>
    <xf numFmtId="0" fontId="2" fillId="2" borderId="60" xfId="1" applyFont="1" applyFill="1" applyBorder="1" applyAlignment="1">
      <alignment horizontal="center" vertical="center" wrapText="1"/>
    </xf>
    <xf numFmtId="0" fontId="0" fillId="0" borderId="39" xfId="0" applyBorder="1"/>
    <xf numFmtId="0" fontId="6" fillId="0" borderId="61" xfId="1" applyFont="1" applyBorder="1" applyAlignment="1">
      <alignment horizontal="left" vertical="center" wrapText="1"/>
    </xf>
    <xf numFmtId="0" fontId="0" fillId="0" borderId="30" xfId="0" applyBorder="1"/>
    <xf numFmtId="0" fontId="2" fillId="0" borderId="12" xfId="1" applyFont="1" applyBorder="1" applyAlignment="1">
      <alignment horizontal="center" vertical="center"/>
    </xf>
    <xf numFmtId="0" fontId="7" fillId="0" borderId="0" xfId="1" applyFont="1" applyAlignment="1">
      <alignment horizontal="left" vertical="center"/>
    </xf>
    <xf numFmtId="0" fontId="2" fillId="0" borderId="15" xfId="1" applyFont="1" applyBorder="1" applyAlignment="1">
      <alignment horizontal="center" vertical="center" wrapText="1"/>
    </xf>
    <xf numFmtId="0" fontId="6" fillId="0" borderId="55" xfId="1" applyFont="1" applyBorder="1" applyAlignment="1">
      <alignment horizontal="center" vertical="center"/>
    </xf>
    <xf numFmtId="0" fontId="0" fillId="0" borderId="47" xfId="0" applyBorder="1"/>
    <xf numFmtId="0" fontId="2" fillId="2" borderId="58" xfId="1" applyFont="1" applyFill="1" applyBorder="1" applyAlignment="1">
      <alignment horizontal="center" vertical="center"/>
    </xf>
    <xf numFmtId="0" fontId="3" fillId="3" borderId="59" xfId="1" applyFont="1" applyFill="1" applyBorder="1" applyAlignment="1">
      <alignment horizontal="center" vertical="center"/>
    </xf>
    <xf numFmtId="43" fontId="2" fillId="3" borderId="4" xfId="2" applyFont="1" applyFill="1" applyBorder="1" applyAlignment="1">
      <alignment horizontal="center" vertical="center"/>
    </xf>
    <xf numFmtId="0" fontId="3" fillId="3" borderId="48" xfId="1" applyFont="1" applyFill="1" applyBorder="1" applyAlignment="1">
      <alignment horizontal="center" vertical="center"/>
    </xf>
    <xf numFmtId="0" fontId="0" fillId="0" borderId="33" xfId="0" applyBorder="1"/>
    <xf numFmtId="0" fontId="2" fillId="2" borderId="3" xfId="1" applyFont="1" applyFill="1" applyBorder="1" applyAlignment="1">
      <alignment horizontal="center" vertical="center" wrapText="1"/>
    </xf>
    <xf numFmtId="0" fontId="2" fillId="3" borderId="46" xfId="1" applyFont="1" applyFill="1" applyBorder="1" applyAlignment="1">
      <alignment horizontal="center" vertical="center" wrapText="1"/>
    </xf>
    <xf numFmtId="0" fontId="0" fillId="0" borderId="31" xfId="0" applyBorder="1"/>
    <xf numFmtId="0" fontId="2" fillId="2" borderId="7" xfId="1" applyFont="1" applyFill="1" applyBorder="1" applyAlignment="1">
      <alignment horizontal="center" vertical="center" wrapText="1"/>
    </xf>
    <xf numFmtId="0" fontId="0" fillId="0" borderId="49" xfId="0" applyBorder="1"/>
    <xf numFmtId="0" fontId="0" fillId="0" borderId="57" xfId="0" applyBorder="1"/>
    <xf numFmtId="1" fontId="6" fillId="0" borderId="13" xfId="1" applyNumberFormat="1" applyFont="1" applyBorder="1" applyAlignment="1">
      <alignment horizontal="center" vertical="center"/>
    </xf>
    <xf numFmtId="0" fontId="3" fillId="3" borderId="19" xfId="1" applyFont="1" applyFill="1" applyBorder="1" applyAlignment="1">
      <alignment horizontal="center" vertical="center"/>
    </xf>
    <xf numFmtId="0" fontId="6" fillId="0" borderId="15" xfId="1" applyFont="1" applyBorder="1" applyAlignment="1">
      <alignment horizontal="left" vertical="center"/>
    </xf>
    <xf numFmtId="0" fontId="2" fillId="0" borderId="11" xfId="1" applyFont="1" applyBorder="1" applyAlignment="1">
      <alignment horizontal="center" vertical="center"/>
    </xf>
    <xf numFmtId="0" fontId="2" fillId="0" borderId="12" xfId="1" applyFont="1" applyBorder="1" applyAlignment="1">
      <alignment horizontal="center" vertical="center" wrapText="1"/>
    </xf>
    <xf numFmtId="0" fontId="2" fillId="2" borderId="5" xfId="1" applyFont="1" applyFill="1" applyBorder="1" applyAlignment="1">
      <alignment horizontal="center" vertical="center" wrapText="1"/>
    </xf>
    <xf numFmtId="0" fontId="0" fillId="0" borderId="6" xfId="0" applyBorder="1"/>
    <xf numFmtId="0" fontId="3" fillId="3" borderId="3" xfId="1" applyFont="1" applyFill="1" applyBorder="1" applyAlignment="1">
      <alignment horizontal="center" vertical="center"/>
    </xf>
    <xf numFmtId="0" fontId="2" fillId="2" borderId="63" xfId="1" applyFont="1" applyFill="1" applyBorder="1" applyAlignment="1">
      <alignment horizontal="center" vertical="center" wrapText="1"/>
    </xf>
    <xf numFmtId="0" fontId="6" fillId="0" borderId="19" xfId="1" applyFont="1" applyBorder="1" applyAlignment="1">
      <alignment horizontal="center" vertical="center"/>
    </xf>
    <xf numFmtId="0" fontId="3" fillId="3" borderId="46" xfId="1" applyFont="1" applyFill="1" applyBorder="1" applyAlignment="1">
      <alignment horizontal="center" vertical="center"/>
    </xf>
    <xf numFmtId="1" fontId="9" fillId="0" borderId="13" xfId="1" applyNumberFormat="1" applyFont="1" applyBorder="1" applyAlignment="1">
      <alignment horizontal="center" vertical="center"/>
    </xf>
    <xf numFmtId="0" fontId="0" fillId="0" borderId="43" xfId="0" applyBorder="1"/>
    <xf numFmtId="0" fontId="2" fillId="3" borderId="3" xfId="1" applyFont="1" applyFill="1" applyBorder="1" applyAlignment="1">
      <alignment horizontal="center" vertical="center"/>
    </xf>
    <xf numFmtId="0" fontId="7" fillId="0" borderId="37" xfId="1" applyFont="1" applyBorder="1" applyAlignment="1">
      <alignment horizontal="left" vertical="center"/>
    </xf>
    <xf numFmtId="0" fontId="3" fillId="3" borderId="48" xfId="2" applyNumberFormat="1" applyFont="1" applyFill="1" applyBorder="1" applyAlignment="1">
      <alignment horizontal="center" vertical="center"/>
    </xf>
    <xf numFmtId="0" fontId="2" fillId="0" borderId="43" xfId="1" applyFont="1" applyBorder="1" applyAlignment="1">
      <alignment horizontal="center" vertical="center" wrapText="1"/>
    </xf>
    <xf numFmtId="0" fontId="2" fillId="3" borderId="3" xfId="1" applyFont="1" applyFill="1" applyBorder="1" applyAlignment="1">
      <alignment horizontal="center" vertical="center" wrapText="1"/>
    </xf>
    <xf numFmtId="0" fontId="3" fillId="3" borderId="15" xfId="1" applyFont="1" applyFill="1" applyBorder="1" applyAlignment="1">
      <alignment horizontal="center" vertical="center"/>
    </xf>
    <xf numFmtId="0" fontId="3" fillId="3" borderId="21" xfId="1" applyFont="1" applyFill="1" applyBorder="1" applyAlignment="1">
      <alignment horizontal="center" vertical="center"/>
    </xf>
    <xf numFmtId="0" fontId="0" fillId="0" borderId="18" xfId="0" applyBorder="1"/>
    <xf numFmtId="0" fontId="2" fillId="2" borderId="48" xfId="1" applyFont="1" applyFill="1" applyBorder="1" applyAlignment="1">
      <alignment horizontal="center" vertical="center" wrapText="1"/>
    </xf>
    <xf numFmtId="0" fontId="6" fillId="0" borderId="13" xfId="1" applyFont="1" applyBorder="1" applyAlignment="1">
      <alignment horizontal="center" vertical="center"/>
    </xf>
    <xf numFmtId="0" fontId="2" fillId="2" borderId="6" xfId="1" applyFont="1" applyFill="1" applyBorder="1" applyAlignment="1">
      <alignment horizontal="center" vertical="center" wrapText="1"/>
    </xf>
    <xf numFmtId="0" fontId="0" fillId="0" borderId="24" xfId="0" applyBorder="1"/>
    <xf numFmtId="0" fontId="6" fillId="0" borderId="25" xfId="1" applyFont="1" applyBorder="1" applyAlignment="1">
      <alignment horizontal="center" vertical="center"/>
    </xf>
    <xf numFmtId="0" fontId="7" fillId="0" borderId="0" xfId="1" applyFont="1" applyAlignment="1">
      <alignment horizontal="center" vertical="center"/>
    </xf>
    <xf numFmtId="0" fontId="11" fillId="0" borderId="13" xfId="1" applyFont="1" applyBorder="1" applyAlignment="1">
      <alignment horizontal="center" vertical="center"/>
    </xf>
  </cellXfs>
  <cellStyles count="3">
    <cellStyle name="Comma 2" xfId="2" xr:uid="{00000000-0005-0000-0000-000002000000}"/>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26"/>
  <sheetViews>
    <sheetView showGridLines="0" view="pageBreakPreview" zoomScale="40" zoomScaleNormal="60" zoomScaleSheetLayoutView="40" workbookViewId="0">
      <selection activeCell="D11" sqref="D11:D12"/>
    </sheetView>
  </sheetViews>
  <sheetFormatPr defaultColWidth="8.21875" defaultRowHeight="16.8" x14ac:dyDescent="0.3"/>
  <cols>
    <col min="1" max="1" width="3.109375" style="8" customWidth="1"/>
    <col min="2" max="2" width="30.21875" style="12" customWidth="1"/>
    <col min="3" max="3" width="17.77734375" style="8" customWidth="1"/>
    <col min="4" max="4" width="42.5546875" style="12" customWidth="1"/>
    <col min="5" max="5" width="27.21875" style="8" bestFit="1" customWidth="1"/>
    <col min="6" max="7" width="11" style="8" bestFit="1" customWidth="1"/>
    <col min="8" max="8" width="19.6640625" style="8" customWidth="1"/>
    <col min="9" max="9" width="24" style="8" bestFit="1" customWidth="1"/>
    <col min="10" max="10" width="2.77734375" style="8" customWidth="1"/>
    <col min="11" max="11" width="3.77734375" style="8" customWidth="1"/>
    <col min="12" max="12" width="37.33203125" style="8" customWidth="1"/>
    <col min="13" max="13" width="16.88671875" style="8" bestFit="1" customWidth="1"/>
    <col min="14" max="14" width="14.6640625" style="8" bestFit="1" customWidth="1"/>
    <col min="15" max="15" width="23.5546875" style="8" customWidth="1"/>
    <col min="16" max="16" width="21.88671875" style="8" bestFit="1" customWidth="1"/>
    <col min="17" max="17" width="34.21875" style="8" customWidth="1"/>
    <col min="18" max="18" width="16" style="8" hidden="1" customWidth="1"/>
    <col min="19" max="22" width="8.21875" style="8" customWidth="1"/>
    <col min="23" max="16384" width="8.21875" style="8"/>
  </cols>
  <sheetData>
    <row r="1" spans="1:18" s="1" customFormat="1" ht="20.399999999999999" x14ac:dyDescent="0.3">
      <c r="B1" s="52"/>
      <c r="C1" s="51"/>
      <c r="D1" s="30" t="s">
        <v>0</v>
      </c>
      <c r="E1" s="1" t="s">
        <v>1</v>
      </c>
      <c r="I1" s="3"/>
    </row>
    <row r="2" spans="1:18" s="1" customFormat="1" ht="17.399999999999999" x14ac:dyDescent="0.3">
      <c r="B2" s="4" t="s">
        <v>2</v>
      </c>
      <c r="C2" s="86"/>
      <c r="D2" s="67"/>
      <c r="E2" s="1" t="s">
        <v>3</v>
      </c>
      <c r="I2" s="3"/>
      <c r="M2" s="5"/>
    </row>
    <row r="3" spans="1:18" s="1" customFormat="1" ht="17.399999999999999" x14ac:dyDescent="0.3">
      <c r="B3" s="4" t="s">
        <v>4</v>
      </c>
      <c r="C3" s="98"/>
      <c r="D3" s="98"/>
      <c r="E3" s="1" t="s">
        <v>5</v>
      </c>
      <c r="I3" s="3"/>
      <c r="L3" s="1" t="s">
        <v>6</v>
      </c>
      <c r="M3" s="6"/>
      <c r="N3" s="7"/>
    </row>
    <row r="4" spans="1:18" s="1" customFormat="1" ht="17.399999999999999" x14ac:dyDescent="0.3">
      <c r="B4" s="4" t="s">
        <v>4</v>
      </c>
      <c r="C4" s="98"/>
      <c r="D4" s="98"/>
      <c r="E4" s="1" t="s">
        <v>5</v>
      </c>
      <c r="I4" s="3"/>
      <c r="L4" s="1" t="s">
        <v>6</v>
      </c>
      <c r="M4" s="6"/>
    </row>
    <row r="5" spans="1:18" s="1" customFormat="1" ht="17.399999999999999" x14ac:dyDescent="0.3">
      <c r="B5" s="4" t="s">
        <v>4</v>
      </c>
      <c r="C5" s="98"/>
      <c r="D5" s="98"/>
      <c r="E5" s="1" t="s">
        <v>5</v>
      </c>
      <c r="I5" s="3"/>
      <c r="L5" s="1" t="s">
        <v>6</v>
      </c>
      <c r="M5" s="3"/>
    </row>
    <row r="6" spans="1:18" s="1" customFormat="1" ht="17.399999999999999" x14ac:dyDescent="0.3">
      <c r="B6" s="4" t="s">
        <v>4</v>
      </c>
      <c r="C6" s="98"/>
      <c r="D6" s="98"/>
      <c r="E6" s="1" t="s">
        <v>5</v>
      </c>
      <c r="I6" s="3"/>
      <c r="L6" s="1" t="s">
        <v>6</v>
      </c>
      <c r="M6" s="3"/>
    </row>
    <row r="7" spans="1:18" ht="17.399999999999999" x14ac:dyDescent="0.3">
      <c r="B7" s="4" t="s">
        <v>7</v>
      </c>
      <c r="C7" s="98"/>
      <c r="D7" s="98"/>
      <c r="E7" s="1" t="s">
        <v>8</v>
      </c>
      <c r="F7" s="1"/>
      <c r="G7" s="1"/>
      <c r="H7" s="1"/>
      <c r="I7" s="3"/>
    </row>
    <row r="8" spans="1:18" ht="17.399999999999999" x14ac:dyDescent="0.3">
      <c r="A8" s="48"/>
      <c r="B8" s="4" t="s">
        <v>9</v>
      </c>
      <c r="C8" s="98"/>
      <c r="D8" s="98"/>
      <c r="E8" s="1"/>
      <c r="F8" s="1"/>
      <c r="G8" s="1"/>
      <c r="H8" s="1"/>
      <c r="I8" s="10"/>
    </row>
    <row r="9" spans="1:18" ht="27.75" customHeight="1" x14ac:dyDescent="0.3">
      <c r="B9" s="117" t="s">
        <v>10</v>
      </c>
      <c r="C9" s="110"/>
      <c r="K9" s="11"/>
      <c r="L9" s="117" t="s">
        <v>11</v>
      </c>
      <c r="N9" s="12"/>
    </row>
    <row r="10" spans="1:18" ht="24" customHeight="1" thickBot="1" x14ac:dyDescent="0.35">
      <c r="B10" s="109"/>
      <c r="C10" s="110"/>
      <c r="K10" s="11"/>
      <c r="L10" s="110"/>
      <c r="M10" s="13"/>
      <c r="N10" s="13"/>
      <c r="O10" s="13"/>
      <c r="P10" s="13"/>
      <c r="Q10" s="13"/>
    </row>
    <row r="11" spans="1:18" ht="37.049999999999997" customHeight="1" x14ac:dyDescent="0.3">
      <c r="B11" s="126" t="s">
        <v>12</v>
      </c>
      <c r="C11" s="99" t="s">
        <v>13</v>
      </c>
      <c r="D11" s="99" t="s">
        <v>14</v>
      </c>
      <c r="E11" s="140" t="s">
        <v>15</v>
      </c>
      <c r="F11" s="137" t="s">
        <v>15</v>
      </c>
      <c r="G11" s="138"/>
      <c r="H11" s="99" t="s">
        <v>16</v>
      </c>
      <c r="I11" s="129" t="s">
        <v>17</v>
      </c>
      <c r="K11" s="13"/>
      <c r="L11" s="126" t="s">
        <v>12</v>
      </c>
      <c r="M11" s="99" t="s">
        <v>13</v>
      </c>
      <c r="N11" s="99" t="s">
        <v>14</v>
      </c>
      <c r="O11" s="99" t="s">
        <v>15</v>
      </c>
      <c r="P11" s="99" t="s">
        <v>16</v>
      </c>
      <c r="Q11" s="99" t="s">
        <v>17</v>
      </c>
      <c r="R11" s="70"/>
    </row>
    <row r="12" spans="1:18" ht="24" customHeight="1" thickBot="1" x14ac:dyDescent="0.35">
      <c r="B12" s="90"/>
      <c r="C12" s="65"/>
      <c r="D12" s="65"/>
      <c r="E12" s="93"/>
      <c r="F12" s="14" t="s">
        <v>18</v>
      </c>
      <c r="G12" s="15" t="s">
        <v>19</v>
      </c>
      <c r="H12" s="65"/>
      <c r="I12" s="97"/>
      <c r="K12" s="13"/>
      <c r="L12" s="90"/>
      <c r="M12" s="65"/>
      <c r="N12" s="65"/>
      <c r="O12" s="65"/>
      <c r="P12" s="65"/>
      <c r="Q12" s="56"/>
      <c r="R12" s="57"/>
    </row>
    <row r="13" spans="1:18" ht="22.95" customHeight="1" x14ac:dyDescent="0.3">
      <c r="B13" s="16" t="s">
        <v>20</v>
      </c>
      <c r="C13" s="17">
        <f>_xlfn.XLOOKUP(B13,PRICENONCONDITIONAL!A:A,PRICENONCONDITIONAL!B:B,0,0)</f>
        <v>0</v>
      </c>
      <c r="D13" s="17">
        <f>_xlfn.XLOOKUP(B13,NONCONDITIONAL!A:A,NONCONDITIONAL!B:B,0,0)</f>
        <v>0</v>
      </c>
      <c r="E13" s="18">
        <v>250</v>
      </c>
      <c r="F13" s="18">
        <v>400</v>
      </c>
      <c r="G13" s="18">
        <v>500</v>
      </c>
      <c r="H13" s="19">
        <f t="shared" ref="H13:H26" si="0">C13*D13</f>
        <v>0</v>
      </c>
      <c r="I13" s="20">
        <f t="shared" ref="I13:I26" si="1">D13*IF($D$27&gt;=20,G13,IF($D$27&gt;=10,F13,E13))</f>
        <v>0</v>
      </c>
      <c r="K13" s="9"/>
      <c r="L13" s="21" t="s">
        <v>21</v>
      </c>
      <c r="M13" s="17">
        <f>_xlfn.XLOOKUP(L13,PRICEPUSHMODEL!A:A,PRICEPUSHMODEL!B:B,0,0)</f>
        <v>0</v>
      </c>
      <c r="N13" s="18">
        <f>_xlfn.XLOOKUP(L13,PUSHMODEL!A:A,PUSHMODEL!B:B,0,0)</f>
        <v>0</v>
      </c>
      <c r="O13" s="22">
        <v>180</v>
      </c>
      <c r="P13" s="19">
        <f t="shared" ref="P13:P36" si="2">M13*N13</f>
        <v>0</v>
      </c>
      <c r="Q13" s="106">
        <f t="shared" ref="Q13:Q36" si="3">N13*O13</f>
        <v>0</v>
      </c>
      <c r="R13" s="107"/>
    </row>
    <row r="14" spans="1:18" ht="22.95" customHeight="1" x14ac:dyDescent="0.3">
      <c r="B14" s="16" t="s">
        <v>22</v>
      </c>
      <c r="C14" s="17">
        <f>_xlfn.XLOOKUP(B14,PRICENONCONDITIONAL!A:A,PRICENONCONDITIONAL!B:B,0,0)</f>
        <v>0</v>
      </c>
      <c r="D14" s="17">
        <f>_xlfn.XLOOKUP(B14,NONCONDITIONAL!A:A,NONCONDITIONAL!B:B,0,0)</f>
        <v>0</v>
      </c>
      <c r="E14" s="18">
        <v>250</v>
      </c>
      <c r="F14" s="18">
        <v>400</v>
      </c>
      <c r="G14" s="18">
        <v>500</v>
      </c>
      <c r="H14" s="19">
        <f t="shared" si="0"/>
        <v>0</v>
      </c>
      <c r="I14" s="20">
        <f t="shared" si="1"/>
        <v>0</v>
      </c>
      <c r="K14" s="9"/>
      <c r="L14" s="21" t="s">
        <v>23</v>
      </c>
      <c r="M14" s="17">
        <f>_xlfn.XLOOKUP(L14,PRICEPUSHMODEL!A:A,PRICEPUSHMODEL!B:B,0,0)</f>
        <v>0</v>
      </c>
      <c r="N14" s="18">
        <f>_xlfn.XLOOKUP(L14,PUSHMODEL!A:A,PUSHMODEL!B:B,0,0)</f>
        <v>0</v>
      </c>
      <c r="O14" s="22">
        <v>200</v>
      </c>
      <c r="P14" s="19">
        <f t="shared" si="2"/>
        <v>0</v>
      </c>
      <c r="Q14" s="106">
        <f t="shared" si="3"/>
        <v>0</v>
      </c>
      <c r="R14" s="107"/>
    </row>
    <row r="15" spans="1:18" ht="22.95" customHeight="1" x14ac:dyDescent="0.3">
      <c r="B15" s="21" t="s">
        <v>24</v>
      </c>
      <c r="C15" s="17">
        <f>_xlfn.XLOOKUP(B15,PRICENONCONDITIONAL!A:A,PRICENONCONDITIONAL!B:B,0,0)</f>
        <v>0</v>
      </c>
      <c r="D15" s="17">
        <f>_xlfn.XLOOKUP(B15,NONCONDITIONAL!A:A,NONCONDITIONAL!B:B,0,0)</f>
        <v>0</v>
      </c>
      <c r="E15" s="18">
        <v>250</v>
      </c>
      <c r="F15" s="18">
        <v>400</v>
      </c>
      <c r="G15" s="18">
        <v>500</v>
      </c>
      <c r="H15" s="19">
        <f t="shared" si="0"/>
        <v>0</v>
      </c>
      <c r="I15" s="20">
        <f t="shared" si="1"/>
        <v>0</v>
      </c>
      <c r="K15" s="9"/>
      <c r="L15" s="21" t="s">
        <v>25</v>
      </c>
      <c r="M15" s="17">
        <f>_xlfn.XLOOKUP(L15,PRICEPUSHMODEL!A:A,PRICEPUSHMODEL!B:B,0,0)</f>
        <v>0</v>
      </c>
      <c r="N15" s="18">
        <f>_xlfn.XLOOKUP(L15,PUSHMODEL!A:A,PUSHMODEL!B:B,0,0)</f>
        <v>0</v>
      </c>
      <c r="O15" s="22">
        <v>200</v>
      </c>
      <c r="P15" s="19">
        <f t="shared" si="2"/>
        <v>0</v>
      </c>
      <c r="Q15" s="106">
        <f t="shared" si="3"/>
        <v>0</v>
      </c>
      <c r="R15" s="107"/>
    </row>
    <row r="16" spans="1:18" ht="22.95" customHeight="1" x14ac:dyDescent="0.3">
      <c r="B16" s="21" t="s">
        <v>26</v>
      </c>
      <c r="C16" s="17">
        <f>_xlfn.XLOOKUP(B16,PRICENONCONDITIONAL!A:A,PRICENONCONDITIONAL!B:B,0,0)</f>
        <v>0</v>
      </c>
      <c r="D16" s="17">
        <f>_xlfn.XLOOKUP(B16,NONCONDITIONAL!A:A,NONCONDITIONAL!B:B,0,0)</f>
        <v>0</v>
      </c>
      <c r="E16" s="18">
        <v>250</v>
      </c>
      <c r="F16" s="18">
        <v>400</v>
      </c>
      <c r="G16" s="18">
        <v>500</v>
      </c>
      <c r="H16" s="19">
        <f t="shared" si="0"/>
        <v>0</v>
      </c>
      <c r="I16" s="20">
        <f t="shared" si="1"/>
        <v>0</v>
      </c>
      <c r="K16" s="9"/>
      <c r="L16" s="21" t="s">
        <v>27</v>
      </c>
      <c r="M16" s="17">
        <f>_xlfn.XLOOKUP(L16,PRICEPUSHMODEL!A:A,PRICEPUSHMODEL!B:B,0,0)</f>
        <v>0</v>
      </c>
      <c r="N16" s="18">
        <f>_xlfn.XLOOKUP(L16,PUSHMODEL!A:A,PUSHMODEL!B:B,0,0)</f>
        <v>0</v>
      </c>
      <c r="O16" s="22">
        <v>220</v>
      </c>
      <c r="P16" s="19">
        <f t="shared" si="2"/>
        <v>0</v>
      </c>
      <c r="Q16" s="106">
        <f t="shared" si="3"/>
        <v>0</v>
      </c>
      <c r="R16" s="107"/>
    </row>
    <row r="17" spans="2:18" ht="22.95" customHeight="1" x14ac:dyDescent="0.3">
      <c r="B17" s="21" t="s">
        <v>28</v>
      </c>
      <c r="C17" s="17">
        <f>_xlfn.XLOOKUP(B17,PRICENONCONDITIONAL!A:A,PRICENONCONDITIONAL!B:B,0,0)</f>
        <v>0</v>
      </c>
      <c r="D17" s="17">
        <f>_xlfn.XLOOKUP(B17,NONCONDITIONAL!A:A,NONCONDITIONAL!B:B,0,0)</f>
        <v>0</v>
      </c>
      <c r="E17" s="18">
        <v>250</v>
      </c>
      <c r="F17" s="18">
        <v>400</v>
      </c>
      <c r="G17" s="18">
        <v>500</v>
      </c>
      <c r="H17" s="19">
        <f t="shared" si="0"/>
        <v>0</v>
      </c>
      <c r="I17" s="20">
        <f t="shared" si="1"/>
        <v>0</v>
      </c>
      <c r="K17" s="9"/>
      <c r="L17" s="21" t="s">
        <v>29</v>
      </c>
      <c r="M17" s="17">
        <f>_xlfn.XLOOKUP(L17,PRICEPUSHMODEL!A:A,PRICEPUSHMODEL!B:B,0,0)</f>
        <v>0</v>
      </c>
      <c r="N17" s="18">
        <f>_xlfn.XLOOKUP(L17,PUSHMODEL!A:A,PUSHMODEL!B:B,0,0)</f>
        <v>0</v>
      </c>
      <c r="O17" s="22">
        <v>220</v>
      </c>
      <c r="P17" s="19">
        <f t="shared" si="2"/>
        <v>0</v>
      </c>
      <c r="Q17" s="106">
        <f t="shared" si="3"/>
        <v>0</v>
      </c>
      <c r="R17" s="107"/>
    </row>
    <row r="18" spans="2:18" ht="22.95" customHeight="1" x14ac:dyDescent="0.3">
      <c r="B18" s="21" t="s">
        <v>30</v>
      </c>
      <c r="C18" s="17">
        <f>_xlfn.XLOOKUP(B18,PRICENONCONDITIONAL!A:A,PRICENONCONDITIONAL!B:B,0,0)</f>
        <v>0</v>
      </c>
      <c r="D18" s="17">
        <f>_xlfn.XLOOKUP(B18,NONCONDITIONAL!A:A,NONCONDITIONAL!B:B,0,0)</f>
        <v>0</v>
      </c>
      <c r="E18" s="18">
        <v>250</v>
      </c>
      <c r="F18" s="18">
        <v>400</v>
      </c>
      <c r="G18" s="18">
        <v>500</v>
      </c>
      <c r="H18" s="19">
        <f t="shared" si="0"/>
        <v>0</v>
      </c>
      <c r="I18" s="20">
        <f t="shared" si="1"/>
        <v>0</v>
      </c>
      <c r="K18" s="9"/>
      <c r="L18" s="21" t="s">
        <v>31</v>
      </c>
      <c r="M18" s="17">
        <f>_xlfn.XLOOKUP(L18,PRICEPUSHMODEL!A:A,PRICEPUSHMODEL!B:B,0,0)</f>
        <v>0</v>
      </c>
      <c r="N18" s="18">
        <f>_xlfn.XLOOKUP(L18,PUSHMODEL!A:A,PUSHMODEL!B:B,0,0)</f>
        <v>0</v>
      </c>
      <c r="O18" s="22">
        <v>220</v>
      </c>
      <c r="P18" s="19">
        <f t="shared" si="2"/>
        <v>0</v>
      </c>
      <c r="Q18" s="106">
        <f t="shared" si="3"/>
        <v>0</v>
      </c>
      <c r="R18" s="107"/>
    </row>
    <row r="19" spans="2:18" ht="22.95" customHeight="1" x14ac:dyDescent="0.3">
      <c r="B19" s="21" t="s">
        <v>32</v>
      </c>
      <c r="C19" s="17">
        <f>_xlfn.XLOOKUP(B19,PRICENONCONDITIONAL!A:A,PRICENONCONDITIONAL!B:B,0,0)</f>
        <v>0</v>
      </c>
      <c r="D19" s="17">
        <f>_xlfn.XLOOKUP(B19,NONCONDITIONAL!A:A,NONCONDITIONAL!B:B,0,0)</f>
        <v>0</v>
      </c>
      <c r="E19" s="18">
        <v>250</v>
      </c>
      <c r="F19" s="18">
        <v>400</v>
      </c>
      <c r="G19" s="18">
        <v>500</v>
      </c>
      <c r="H19" s="19">
        <f t="shared" si="0"/>
        <v>0</v>
      </c>
      <c r="I19" s="20">
        <f t="shared" si="1"/>
        <v>0</v>
      </c>
      <c r="K19" s="9"/>
      <c r="L19" s="21" t="s">
        <v>33</v>
      </c>
      <c r="M19" s="17">
        <f>_xlfn.XLOOKUP(L19,PRICEPUSHMODEL!A:A,PRICEPUSHMODEL!B:B,0,0)</f>
        <v>0</v>
      </c>
      <c r="N19" s="18">
        <f>_xlfn.XLOOKUP(L19,PUSHMODEL!A:A,PUSHMODEL!B:B,0,0)</f>
        <v>0</v>
      </c>
      <c r="O19" s="22">
        <v>220</v>
      </c>
      <c r="P19" s="19">
        <f t="shared" si="2"/>
        <v>0</v>
      </c>
      <c r="Q19" s="106">
        <f t="shared" si="3"/>
        <v>0</v>
      </c>
      <c r="R19" s="107"/>
    </row>
    <row r="20" spans="2:18" ht="22.95" customHeight="1" x14ac:dyDescent="0.3">
      <c r="B20" s="21" t="s">
        <v>34</v>
      </c>
      <c r="C20" s="17">
        <f>_xlfn.XLOOKUP(B20,PRICENONCONDITIONAL!A:A,PRICENONCONDITIONAL!B:B,0,0)</f>
        <v>0</v>
      </c>
      <c r="D20" s="17">
        <f>_xlfn.XLOOKUP(B20,NONCONDITIONAL!A:A,NONCONDITIONAL!B:B,0,0)</f>
        <v>0</v>
      </c>
      <c r="E20" s="18">
        <v>250</v>
      </c>
      <c r="F20" s="18">
        <v>400</v>
      </c>
      <c r="G20" s="18">
        <v>500</v>
      </c>
      <c r="H20" s="19">
        <f t="shared" si="0"/>
        <v>0</v>
      </c>
      <c r="I20" s="20">
        <f t="shared" si="1"/>
        <v>0</v>
      </c>
      <c r="K20" s="9"/>
      <c r="L20" s="21" t="s">
        <v>35</v>
      </c>
      <c r="M20" s="17">
        <f>_xlfn.XLOOKUP(L20,PRICEPUSHMODEL!A:A,PRICEPUSHMODEL!B:B,0,0)</f>
        <v>0</v>
      </c>
      <c r="N20" s="18">
        <f>_xlfn.XLOOKUP(L20,PUSHMODEL!A:A,PUSHMODEL!B:B,0,0)</f>
        <v>0</v>
      </c>
      <c r="O20" s="22">
        <v>220</v>
      </c>
      <c r="P20" s="19">
        <f t="shared" si="2"/>
        <v>0</v>
      </c>
      <c r="Q20" s="106">
        <f t="shared" si="3"/>
        <v>0</v>
      </c>
      <c r="R20" s="107"/>
    </row>
    <row r="21" spans="2:18" ht="22.95" customHeight="1" x14ac:dyDescent="0.3">
      <c r="B21" s="21" t="s">
        <v>36</v>
      </c>
      <c r="C21" s="17">
        <f>_xlfn.XLOOKUP(B21,PRICENONCONDITIONAL!A:A,PRICENONCONDITIONAL!B:B,0,0)</f>
        <v>0</v>
      </c>
      <c r="D21" s="17">
        <f>_xlfn.XLOOKUP(B21,NONCONDITIONAL!A:A,NONCONDITIONAL!B:B,0,0)</f>
        <v>0</v>
      </c>
      <c r="E21" s="18">
        <v>250</v>
      </c>
      <c r="F21" s="18">
        <v>400</v>
      </c>
      <c r="G21" s="18">
        <v>500</v>
      </c>
      <c r="H21" s="19">
        <f t="shared" si="0"/>
        <v>0</v>
      </c>
      <c r="I21" s="20">
        <f t="shared" si="1"/>
        <v>0</v>
      </c>
      <c r="K21" s="9"/>
      <c r="L21" s="21" t="s">
        <v>37</v>
      </c>
      <c r="M21" s="17">
        <f>_xlfn.XLOOKUP(L21,PRICEPUSHMODEL!A:A,PRICEPUSHMODEL!B:B,0,0)</f>
        <v>0</v>
      </c>
      <c r="N21" s="18">
        <f>_xlfn.XLOOKUP(L21,PUSHMODEL!A:A,PUSHMODEL!B:B,0,0)</f>
        <v>0</v>
      </c>
      <c r="O21" s="22">
        <v>220</v>
      </c>
      <c r="P21" s="19">
        <f t="shared" si="2"/>
        <v>0</v>
      </c>
      <c r="Q21" s="106">
        <f t="shared" si="3"/>
        <v>0</v>
      </c>
      <c r="R21" s="107"/>
    </row>
    <row r="22" spans="2:18" ht="22.95" customHeight="1" x14ac:dyDescent="0.3">
      <c r="B22" s="21" t="s">
        <v>38</v>
      </c>
      <c r="C22" s="17">
        <f>_xlfn.XLOOKUP(B22,PRICENONCONDITIONAL!A:A,PRICENONCONDITIONAL!B:B,0,0)</f>
        <v>0</v>
      </c>
      <c r="D22" s="17">
        <f>_xlfn.XLOOKUP(B22,NONCONDITIONAL!A:A,NONCONDITIONAL!B:B,0,0)</f>
        <v>0</v>
      </c>
      <c r="E22" s="18">
        <v>400</v>
      </c>
      <c r="F22" s="18">
        <v>400</v>
      </c>
      <c r="G22" s="18">
        <v>500</v>
      </c>
      <c r="H22" s="19">
        <f t="shared" si="0"/>
        <v>0</v>
      </c>
      <c r="I22" s="20">
        <f t="shared" si="1"/>
        <v>0</v>
      </c>
      <c r="K22" s="9"/>
      <c r="L22" s="21" t="s">
        <v>39</v>
      </c>
      <c r="M22" s="17">
        <f>_xlfn.XLOOKUP(L22,PRICEPUSHMODEL!A:A,PRICEPUSHMODEL!B:B,0,0)</f>
        <v>0</v>
      </c>
      <c r="N22" s="18">
        <f>_xlfn.XLOOKUP(L22,PUSHMODEL!A:A,PUSHMODEL!B:B,0,0)</f>
        <v>0</v>
      </c>
      <c r="O22" s="22">
        <v>220</v>
      </c>
      <c r="P22" s="19">
        <f t="shared" si="2"/>
        <v>0</v>
      </c>
      <c r="Q22" s="106">
        <f t="shared" si="3"/>
        <v>0</v>
      </c>
      <c r="R22" s="107"/>
    </row>
    <row r="23" spans="2:18" ht="22.95" customHeight="1" x14ac:dyDescent="0.3">
      <c r="B23" s="21" t="s">
        <v>40</v>
      </c>
      <c r="C23" s="17">
        <f>_xlfn.XLOOKUP(B23,PRICENONCONDITIONAL!A:A,PRICENONCONDITIONAL!B:B,0,0)</f>
        <v>0</v>
      </c>
      <c r="D23" s="17">
        <f>_xlfn.XLOOKUP(B23,NONCONDITIONAL!A:A,NONCONDITIONAL!B:B,0,0)</f>
        <v>0</v>
      </c>
      <c r="E23" s="18">
        <v>400</v>
      </c>
      <c r="F23" s="18">
        <v>400</v>
      </c>
      <c r="G23" s="18">
        <v>500</v>
      </c>
      <c r="H23" s="19">
        <f t="shared" si="0"/>
        <v>0</v>
      </c>
      <c r="I23" s="20">
        <f t="shared" si="1"/>
        <v>0</v>
      </c>
      <c r="K23" s="9"/>
      <c r="L23" s="21" t="s">
        <v>41</v>
      </c>
      <c r="M23" s="17">
        <f>_xlfn.XLOOKUP(L23,PRICEPUSHMODEL!A:A,PRICEPUSHMODEL!B:B,0,0)</f>
        <v>0</v>
      </c>
      <c r="N23" s="18">
        <f>_xlfn.XLOOKUP(L23,PUSHMODEL!A:A,PUSHMODEL!B:B,0,0)</f>
        <v>0</v>
      </c>
      <c r="O23" s="22">
        <v>220</v>
      </c>
      <c r="P23" s="19">
        <f t="shared" si="2"/>
        <v>0</v>
      </c>
      <c r="Q23" s="106">
        <f t="shared" si="3"/>
        <v>0</v>
      </c>
      <c r="R23" s="107"/>
    </row>
    <row r="24" spans="2:18" ht="22.95" customHeight="1" x14ac:dyDescent="0.3">
      <c r="B24" s="21" t="s">
        <v>42</v>
      </c>
      <c r="C24" s="17">
        <f>_xlfn.XLOOKUP(B24,PRICENONCONDITIONAL!A:A,PRICENONCONDITIONAL!B:B,0,0)</f>
        <v>0</v>
      </c>
      <c r="D24" s="17">
        <f>_xlfn.XLOOKUP(B24,NONCONDITIONAL!A:A,NONCONDITIONAL!B:B,0,0)</f>
        <v>0</v>
      </c>
      <c r="E24" s="18">
        <v>400</v>
      </c>
      <c r="F24" s="18">
        <v>400</v>
      </c>
      <c r="G24" s="18">
        <v>500</v>
      </c>
      <c r="H24" s="19">
        <f t="shared" si="0"/>
        <v>0</v>
      </c>
      <c r="I24" s="20">
        <f t="shared" si="1"/>
        <v>0</v>
      </c>
      <c r="K24" s="9"/>
      <c r="L24" s="21" t="s">
        <v>43</v>
      </c>
      <c r="M24" s="17">
        <f>_xlfn.XLOOKUP(L24,PRICEPUSHMODEL!A:A,PRICEPUSHMODEL!B:B,0,0)</f>
        <v>0</v>
      </c>
      <c r="N24" s="18">
        <f>_xlfn.XLOOKUP(L24,PUSHMODEL!A:A,PUSHMODEL!B:B,0,0)</f>
        <v>0</v>
      </c>
      <c r="O24" s="22">
        <v>220</v>
      </c>
      <c r="P24" s="19">
        <f t="shared" si="2"/>
        <v>0</v>
      </c>
      <c r="Q24" s="106">
        <f t="shared" si="3"/>
        <v>0</v>
      </c>
      <c r="R24" s="107"/>
    </row>
    <row r="25" spans="2:18" ht="22.95" customHeight="1" x14ac:dyDescent="0.3">
      <c r="B25" s="21" t="s">
        <v>44</v>
      </c>
      <c r="C25" s="17">
        <f>_xlfn.XLOOKUP(B25,PRICENONCONDITIONAL!A:A,PRICENONCONDITIONAL!B:B,0,0)</f>
        <v>0</v>
      </c>
      <c r="D25" s="17">
        <f>_xlfn.XLOOKUP(B25,NONCONDITIONAL!A:A,NONCONDITIONAL!B:B,0,0)</f>
        <v>0</v>
      </c>
      <c r="E25" s="18">
        <v>400</v>
      </c>
      <c r="F25" s="18">
        <v>400</v>
      </c>
      <c r="G25" s="18">
        <v>500</v>
      </c>
      <c r="H25" s="19">
        <f t="shared" si="0"/>
        <v>0</v>
      </c>
      <c r="I25" s="20">
        <f t="shared" si="1"/>
        <v>0</v>
      </c>
      <c r="K25" s="9"/>
      <c r="L25" s="21" t="s">
        <v>45</v>
      </c>
      <c r="M25" s="17">
        <f>_xlfn.XLOOKUP(L25,PRICEPUSHMODEL!A:A,PRICEPUSHMODEL!B:B,0,0)</f>
        <v>0</v>
      </c>
      <c r="N25" s="18">
        <f>_xlfn.XLOOKUP(L25,PUSHMODEL!A:A,PUSHMODEL!B:B,0,0)</f>
        <v>0</v>
      </c>
      <c r="O25" s="22">
        <v>220</v>
      </c>
      <c r="P25" s="19">
        <f t="shared" si="2"/>
        <v>0</v>
      </c>
      <c r="Q25" s="106">
        <f t="shared" si="3"/>
        <v>0</v>
      </c>
      <c r="R25" s="107"/>
    </row>
    <row r="26" spans="2:18" ht="22.95" customHeight="1" x14ac:dyDescent="0.3">
      <c r="B26" s="21" t="s">
        <v>46</v>
      </c>
      <c r="C26" s="17">
        <f>_xlfn.XLOOKUP(B26,PRICENONCONDITIONAL!A:A,PRICENONCONDITIONAL!B:B,0,0)</f>
        <v>0</v>
      </c>
      <c r="D26" s="17">
        <f>_xlfn.XLOOKUP(B26,NONCONDITIONAL!A:A,NONCONDITIONAL!B:B,0,0)</f>
        <v>0</v>
      </c>
      <c r="E26" s="18">
        <v>400</v>
      </c>
      <c r="F26" s="18">
        <v>400</v>
      </c>
      <c r="G26" s="18">
        <v>500</v>
      </c>
      <c r="H26" s="23">
        <f t="shared" si="0"/>
        <v>0</v>
      </c>
      <c r="I26" s="20">
        <f t="shared" si="1"/>
        <v>0</v>
      </c>
      <c r="K26" s="9"/>
      <c r="L26" s="21" t="s">
        <v>47</v>
      </c>
      <c r="M26" s="17">
        <f>_xlfn.XLOOKUP(L26,PRICEPUSHMODEL!A:A,PRICEPUSHMODEL!B:B,0,0)</f>
        <v>0</v>
      </c>
      <c r="N26" s="18">
        <f>_xlfn.XLOOKUP(L26,PUSHMODEL!A:A,PUSHMODEL!B:B,0,0)</f>
        <v>0</v>
      </c>
      <c r="O26" s="22">
        <v>350</v>
      </c>
      <c r="P26" s="19">
        <f t="shared" si="2"/>
        <v>0</v>
      </c>
      <c r="Q26" s="106">
        <f t="shared" si="3"/>
        <v>0</v>
      </c>
      <c r="R26" s="107"/>
    </row>
    <row r="27" spans="2:18" ht="22.95" customHeight="1" x14ac:dyDescent="0.3">
      <c r="B27" s="150" t="s">
        <v>48</v>
      </c>
      <c r="C27" s="87"/>
      <c r="D27" s="87">
        <f>SUM(D13:D26)</f>
        <v>0</v>
      </c>
      <c r="E27" s="87"/>
      <c r="F27" s="87"/>
      <c r="G27" s="87"/>
      <c r="H27" s="87">
        <f>SUM(H13:H26)</f>
        <v>0</v>
      </c>
      <c r="I27" s="133">
        <f>SUM(I13:I26)</f>
        <v>0</v>
      </c>
      <c r="K27" s="9"/>
      <c r="L27" s="21" t="s">
        <v>49</v>
      </c>
      <c r="M27" s="17">
        <f>_xlfn.XLOOKUP(L27,PRICEPUSHMODEL!A:A,PRICEPUSHMODEL!B:B,0,0)</f>
        <v>0</v>
      </c>
      <c r="N27" s="18">
        <f>_xlfn.XLOOKUP(L27,PUSHMODEL!A:A,PUSHMODEL!B:B,0,0)</f>
        <v>0</v>
      </c>
      <c r="O27" s="22">
        <v>350</v>
      </c>
      <c r="P27" s="19">
        <f t="shared" si="2"/>
        <v>0</v>
      </c>
      <c r="Q27" s="106">
        <f t="shared" si="3"/>
        <v>0</v>
      </c>
      <c r="R27" s="107"/>
    </row>
    <row r="28" spans="2:18" ht="22.95" customHeight="1" thickBot="1" x14ac:dyDescent="0.35">
      <c r="B28" s="90"/>
      <c r="C28" s="88"/>
      <c r="D28" s="88"/>
      <c r="E28" s="88"/>
      <c r="F28" s="88"/>
      <c r="G28" s="88"/>
      <c r="H28" s="88"/>
      <c r="I28" s="97"/>
      <c r="K28" s="9"/>
      <c r="L28" s="21" t="s">
        <v>50</v>
      </c>
      <c r="M28" s="17">
        <f>_xlfn.XLOOKUP(L28,PRICEPUSHMODEL!A:A,PRICEPUSHMODEL!B:B,0,0)</f>
        <v>0</v>
      </c>
      <c r="N28" s="18">
        <f>_xlfn.XLOOKUP(L28,PUSHMODEL!A:A,PUSHMODEL!B:B,0,0)</f>
        <v>0</v>
      </c>
      <c r="O28" s="22">
        <v>350</v>
      </c>
      <c r="P28" s="19">
        <f t="shared" si="2"/>
        <v>0</v>
      </c>
      <c r="Q28" s="106">
        <f t="shared" si="3"/>
        <v>0</v>
      </c>
      <c r="R28" s="107"/>
    </row>
    <row r="29" spans="2:18" ht="34.200000000000003" customHeight="1" x14ac:dyDescent="0.3">
      <c r="B29" s="126" t="s">
        <v>12</v>
      </c>
      <c r="C29" s="99" t="s">
        <v>13</v>
      </c>
      <c r="D29" s="99" t="s">
        <v>14</v>
      </c>
      <c r="E29" s="99" t="s">
        <v>15</v>
      </c>
      <c r="F29" s="155" t="s">
        <v>15</v>
      </c>
      <c r="G29" s="138"/>
      <c r="H29" s="99" t="s">
        <v>16</v>
      </c>
      <c r="I29" s="129" t="s">
        <v>51</v>
      </c>
      <c r="K29" s="9"/>
      <c r="L29" s="21" t="s">
        <v>52</v>
      </c>
      <c r="M29" s="17">
        <f>_xlfn.XLOOKUP(L29,PRICEPUSHMODEL!A:A,PRICEPUSHMODEL!B:B,0,0)</f>
        <v>0</v>
      </c>
      <c r="N29" s="18">
        <f>_xlfn.XLOOKUP(L29,PUSHMODEL!A:A,PUSHMODEL!B:B,0,0)</f>
        <v>0</v>
      </c>
      <c r="O29" s="22">
        <v>350</v>
      </c>
      <c r="P29" s="19">
        <f t="shared" si="2"/>
        <v>0</v>
      </c>
      <c r="Q29" s="106">
        <f t="shared" si="3"/>
        <v>0</v>
      </c>
      <c r="R29" s="107"/>
    </row>
    <row r="30" spans="2:18" ht="22.8" customHeight="1" thickBot="1" x14ac:dyDescent="0.35">
      <c r="B30" s="90"/>
      <c r="C30" s="65"/>
      <c r="D30" s="65"/>
      <c r="E30" s="65"/>
      <c r="F30" s="15" t="s">
        <v>53</v>
      </c>
      <c r="G30" s="15" t="s">
        <v>54</v>
      </c>
      <c r="H30" s="65"/>
      <c r="I30" s="97"/>
      <c r="K30" s="9"/>
      <c r="L30" s="21" t="s">
        <v>55</v>
      </c>
      <c r="M30" s="17">
        <f>_xlfn.XLOOKUP(L30,PRICEPUSHMODEL!A:A,PRICEPUSHMODEL!B:B,0,0)</f>
        <v>0</v>
      </c>
      <c r="N30" s="18">
        <f>_xlfn.XLOOKUP(L30,PUSHMODEL!A:A,PUSHMODEL!B:B,0,0)</f>
        <v>0</v>
      </c>
      <c r="O30" s="22">
        <v>350</v>
      </c>
      <c r="P30" s="19">
        <f t="shared" si="2"/>
        <v>0</v>
      </c>
      <c r="Q30" s="106">
        <f t="shared" si="3"/>
        <v>0</v>
      </c>
      <c r="R30" s="107"/>
    </row>
    <row r="31" spans="2:18" ht="22.95" customHeight="1" x14ac:dyDescent="0.3">
      <c r="B31" s="21" t="s">
        <v>56</v>
      </c>
      <c r="C31" s="18">
        <f>_xlfn.XLOOKUP(B31,PRICENONCONDITIONAL!A:A,PRICENONCONDITIONAL!B:B,0,0)</f>
        <v>0</v>
      </c>
      <c r="D31" s="17">
        <f>_xlfn.XLOOKUP(B31,NONCONDITIONAL!A:A,NONCONDITIONAL!B:B,0,0)</f>
        <v>0</v>
      </c>
      <c r="E31" s="18">
        <v>600</v>
      </c>
      <c r="F31" s="24">
        <v>1000</v>
      </c>
      <c r="G31" s="24">
        <v>2000</v>
      </c>
      <c r="H31" s="19">
        <f t="shared" ref="H31:H39" si="4">C31*D31</f>
        <v>0</v>
      </c>
      <c r="I31" s="20">
        <f t="shared" ref="I31:I39" si="5">D31*IF($D$40&gt;=10,G31,IF($D$40&gt;=5,F31,E31))</f>
        <v>0</v>
      </c>
      <c r="K31" s="9"/>
      <c r="L31" s="21" t="s">
        <v>57</v>
      </c>
      <c r="M31" s="17">
        <f>_xlfn.XLOOKUP(L31,PRICEPUSHMODEL!A:A,PRICEPUSHMODEL!B:B,0,0)</f>
        <v>0</v>
      </c>
      <c r="N31" s="18">
        <f>_xlfn.XLOOKUP(L31,PUSHMODEL!A:A,PUSHMODEL!B:B,0,0)</f>
        <v>0</v>
      </c>
      <c r="O31" s="22">
        <v>500</v>
      </c>
      <c r="P31" s="19">
        <f t="shared" si="2"/>
        <v>0</v>
      </c>
      <c r="Q31" s="106">
        <f t="shared" si="3"/>
        <v>0</v>
      </c>
      <c r="R31" s="107"/>
    </row>
    <row r="32" spans="2:18" ht="22.95" customHeight="1" x14ac:dyDescent="0.3">
      <c r="B32" s="21" t="s">
        <v>58</v>
      </c>
      <c r="C32" s="18">
        <f>_xlfn.XLOOKUP(B32,PRICENONCONDITIONAL!A:A,PRICENONCONDITIONAL!B:B,0,0)</f>
        <v>0</v>
      </c>
      <c r="D32" s="17">
        <f>_xlfn.XLOOKUP(B32,NONCONDITIONAL!A:A,NONCONDITIONAL!B:B,0,0)</f>
        <v>0</v>
      </c>
      <c r="E32" s="18">
        <v>600</v>
      </c>
      <c r="F32" s="18">
        <v>1000</v>
      </c>
      <c r="G32" s="18">
        <v>2000</v>
      </c>
      <c r="H32" s="19">
        <f t="shared" si="4"/>
        <v>0</v>
      </c>
      <c r="I32" s="20">
        <f t="shared" si="5"/>
        <v>0</v>
      </c>
      <c r="K32" s="9"/>
      <c r="L32" s="21" t="s">
        <v>59</v>
      </c>
      <c r="M32" s="17">
        <f>_xlfn.XLOOKUP(L32,PRICEPUSHMODEL!A:A,PRICEPUSHMODEL!B:B,0,0)</f>
        <v>0</v>
      </c>
      <c r="N32" s="18">
        <f>_xlfn.XLOOKUP(L32,PUSHMODEL!A:A,PUSHMODEL!B:B,0,0)</f>
        <v>0</v>
      </c>
      <c r="O32" s="22">
        <v>500</v>
      </c>
      <c r="P32" s="19">
        <f t="shared" si="2"/>
        <v>0</v>
      </c>
      <c r="Q32" s="106">
        <f t="shared" si="3"/>
        <v>0</v>
      </c>
      <c r="R32" s="107"/>
    </row>
    <row r="33" spans="2:18" ht="22.95" customHeight="1" x14ac:dyDescent="0.3">
      <c r="B33" s="21" t="s">
        <v>60</v>
      </c>
      <c r="C33" s="18">
        <f>_xlfn.XLOOKUP(B33,PRICENONCONDITIONAL!A:A,PRICENONCONDITIONAL!B:B,0,0)</f>
        <v>0</v>
      </c>
      <c r="D33" s="17">
        <f>_xlfn.XLOOKUP(B33,NONCONDITIONAL!A:A,NONCONDITIONAL!B:B,0,0)</f>
        <v>0</v>
      </c>
      <c r="E33" s="18">
        <v>800</v>
      </c>
      <c r="F33" s="18">
        <v>1000</v>
      </c>
      <c r="G33" s="18">
        <v>2000</v>
      </c>
      <c r="H33" s="19">
        <f t="shared" si="4"/>
        <v>0</v>
      </c>
      <c r="I33" s="20">
        <f t="shared" si="5"/>
        <v>0</v>
      </c>
      <c r="K33" s="9"/>
      <c r="L33" s="21" t="s">
        <v>61</v>
      </c>
      <c r="M33" s="17">
        <f>_xlfn.XLOOKUP(L33,PRICEPUSHMODEL!A:A,PRICEPUSHMODEL!B:B,0,0)</f>
        <v>0</v>
      </c>
      <c r="N33" s="18">
        <f>_xlfn.XLOOKUP(L33,PUSHMODEL!A:A,PUSHMODEL!B:B,0,0)</f>
        <v>0</v>
      </c>
      <c r="O33" s="22">
        <v>500</v>
      </c>
      <c r="P33" s="19">
        <f t="shared" si="2"/>
        <v>0</v>
      </c>
      <c r="Q33" s="106">
        <f t="shared" si="3"/>
        <v>0</v>
      </c>
      <c r="R33" s="107"/>
    </row>
    <row r="34" spans="2:18" ht="22.95" customHeight="1" x14ac:dyDescent="0.3">
      <c r="B34" s="21" t="s">
        <v>62</v>
      </c>
      <c r="C34" s="18">
        <f>_xlfn.XLOOKUP(B34,PRICENONCONDITIONAL!A:A,PRICENONCONDITIONAL!B:B,0,0)</f>
        <v>0</v>
      </c>
      <c r="D34" s="17">
        <f>_xlfn.XLOOKUP(B34,NONCONDITIONAL!A:A,NONCONDITIONAL!B:B,0,0)</f>
        <v>0</v>
      </c>
      <c r="E34" s="18">
        <v>800</v>
      </c>
      <c r="F34" s="18">
        <v>1000</v>
      </c>
      <c r="G34" s="18">
        <v>2000</v>
      </c>
      <c r="H34" s="19">
        <f t="shared" si="4"/>
        <v>0</v>
      </c>
      <c r="I34" s="20">
        <f t="shared" si="5"/>
        <v>0</v>
      </c>
      <c r="K34" s="9"/>
      <c r="L34" s="21" t="s">
        <v>63</v>
      </c>
      <c r="M34" s="17">
        <f>_xlfn.XLOOKUP(L34,PRICEPUSHMODEL!A:A,PRICEPUSHMODEL!B:B,0,0)</f>
        <v>0</v>
      </c>
      <c r="N34" s="18">
        <f>_xlfn.XLOOKUP(L34,PUSHMODEL!A:A,PUSHMODEL!B:B,0,0)</f>
        <v>0</v>
      </c>
      <c r="O34" s="22">
        <v>500</v>
      </c>
      <c r="P34" s="19">
        <f t="shared" si="2"/>
        <v>0</v>
      </c>
      <c r="Q34" s="106">
        <f t="shared" si="3"/>
        <v>0</v>
      </c>
      <c r="R34" s="107"/>
    </row>
    <row r="35" spans="2:18" ht="22.95" customHeight="1" x14ac:dyDescent="0.3">
      <c r="B35" s="21" t="s">
        <v>64</v>
      </c>
      <c r="C35" s="18">
        <f>_xlfn.XLOOKUP(B35,PRICENONCONDITIONAL!A:A,PRICENONCONDITIONAL!B:B,0,0)</f>
        <v>0</v>
      </c>
      <c r="D35" s="17">
        <f>_xlfn.XLOOKUP(B35,NONCONDITIONAL!A:A,NONCONDITIONAL!B:B,0,0)</f>
        <v>0</v>
      </c>
      <c r="E35" s="18">
        <v>1000</v>
      </c>
      <c r="F35" s="18">
        <v>1000</v>
      </c>
      <c r="G35" s="18">
        <v>2000</v>
      </c>
      <c r="H35" s="19">
        <f t="shared" si="4"/>
        <v>0</v>
      </c>
      <c r="I35" s="20">
        <f t="shared" si="5"/>
        <v>0</v>
      </c>
      <c r="K35" s="9"/>
      <c r="L35" s="21" t="s">
        <v>65</v>
      </c>
      <c r="M35" s="17">
        <f>_xlfn.XLOOKUP(L35,PRICEPUSHMODEL!A:A,PRICEPUSHMODEL!B:B,0,0)</f>
        <v>0</v>
      </c>
      <c r="N35" s="18">
        <f>_xlfn.XLOOKUP(L35,PUSHMODEL!A:A,PUSHMODEL!B:B,0,0)</f>
        <v>0</v>
      </c>
      <c r="O35" s="22">
        <v>200</v>
      </c>
      <c r="P35" s="19">
        <f t="shared" si="2"/>
        <v>0</v>
      </c>
      <c r="Q35" s="106">
        <f t="shared" si="3"/>
        <v>0</v>
      </c>
      <c r="R35" s="107"/>
    </row>
    <row r="36" spans="2:18" ht="22.95" customHeight="1" thickBot="1" x14ac:dyDescent="0.35">
      <c r="B36" s="21" t="s">
        <v>66</v>
      </c>
      <c r="C36" s="18">
        <f>_xlfn.XLOOKUP(B36,PRICENONCONDITIONAL!A:A,PRICENONCONDITIONAL!B:B,0,0)</f>
        <v>0</v>
      </c>
      <c r="D36" s="17">
        <f>_xlfn.XLOOKUP(B36,NONCONDITIONAL!A:A,NONCONDITIONAL!B:B,0,0)</f>
        <v>0</v>
      </c>
      <c r="E36" s="18">
        <v>1000</v>
      </c>
      <c r="F36" s="18">
        <v>1000</v>
      </c>
      <c r="G36" s="18">
        <v>2000</v>
      </c>
      <c r="H36" s="19">
        <f t="shared" si="4"/>
        <v>0</v>
      </c>
      <c r="I36" s="20">
        <f t="shared" si="5"/>
        <v>0</v>
      </c>
      <c r="K36" s="9"/>
      <c r="L36" s="25" t="s">
        <v>67</v>
      </c>
      <c r="M36" s="17">
        <f>_xlfn.XLOOKUP(L36,PRICEPUSHMODEL!A:A,PRICEPUSHMODEL!B:B,0,0)</f>
        <v>0</v>
      </c>
      <c r="N36" s="18">
        <f>_xlfn.XLOOKUP(L36,PUSHMODEL!A:A,PUSHMODEL!B:B,0,0)</f>
        <v>0</v>
      </c>
      <c r="O36" s="26">
        <v>200</v>
      </c>
      <c r="P36" s="23">
        <f t="shared" si="2"/>
        <v>0</v>
      </c>
      <c r="Q36" s="58">
        <f t="shared" si="3"/>
        <v>0</v>
      </c>
      <c r="R36" s="59"/>
    </row>
    <row r="37" spans="2:18" ht="22.95" customHeight="1" x14ac:dyDescent="0.3">
      <c r="B37" s="21" t="s">
        <v>68</v>
      </c>
      <c r="C37" s="18">
        <f>_xlfn.XLOOKUP(B37,PRICENONCONDITIONAL!A:A,PRICENONCONDITIONAL!B:B,0,0)</f>
        <v>0</v>
      </c>
      <c r="D37" s="17">
        <f>_xlfn.XLOOKUP(B37,NONCONDITIONAL!A:A,NONCONDITIONAL!B:B,0,0)</f>
        <v>0</v>
      </c>
      <c r="E37" s="18">
        <v>1000</v>
      </c>
      <c r="F37" s="18">
        <v>1000</v>
      </c>
      <c r="G37" s="18">
        <v>2000</v>
      </c>
      <c r="H37" s="19">
        <f t="shared" si="4"/>
        <v>0</v>
      </c>
      <c r="I37" s="20">
        <f t="shared" si="5"/>
        <v>0</v>
      </c>
      <c r="K37" s="9"/>
      <c r="L37" s="139" t="s">
        <v>48</v>
      </c>
      <c r="M37" s="75"/>
      <c r="N37" s="75">
        <f>SUM(N13:N36)</f>
        <v>0</v>
      </c>
      <c r="O37" s="75"/>
      <c r="P37" s="75">
        <f>SUM(P13:P36)</f>
        <v>0</v>
      </c>
      <c r="Q37" s="75">
        <f>SUM(Q13:R36)</f>
        <v>0</v>
      </c>
      <c r="R37" s="70"/>
    </row>
    <row r="38" spans="2:18" ht="22.95" customHeight="1" thickBot="1" x14ac:dyDescent="0.35">
      <c r="B38" s="21" t="s">
        <v>69</v>
      </c>
      <c r="C38" s="18">
        <f>_xlfn.XLOOKUP(B38,PRICENONCONDITIONAL!A:A,PRICENONCONDITIONAL!B:B,0,0)</f>
        <v>0</v>
      </c>
      <c r="D38" s="17">
        <f>_xlfn.XLOOKUP(B38,NONCONDITIONAL!A:A,NONCONDITIONAL!B:B,0,0)</f>
        <v>0</v>
      </c>
      <c r="E38" s="18">
        <v>800</v>
      </c>
      <c r="F38" s="18">
        <v>1000</v>
      </c>
      <c r="G38" s="18">
        <v>2000</v>
      </c>
      <c r="H38" s="19">
        <f t="shared" si="4"/>
        <v>0</v>
      </c>
      <c r="I38" s="20">
        <f t="shared" si="5"/>
        <v>0</v>
      </c>
      <c r="K38" s="9"/>
      <c r="L38" s="90"/>
      <c r="M38" s="65"/>
      <c r="N38" s="65"/>
      <c r="O38" s="65"/>
      <c r="P38" s="65"/>
      <c r="Q38" s="56"/>
      <c r="R38" s="57"/>
    </row>
    <row r="39" spans="2:18" ht="22.95" customHeight="1" thickBot="1" x14ac:dyDescent="0.35">
      <c r="B39" s="21" t="s">
        <v>70</v>
      </c>
      <c r="C39" s="18">
        <f>_xlfn.XLOOKUP(B39,PRICENONCONDITIONAL!A:A,PRICENONCONDITIONAL!B:B,0,0)</f>
        <v>0</v>
      </c>
      <c r="D39" s="17">
        <f>_xlfn.XLOOKUP(B39,NONCONDITIONAL!A:A,NONCONDITIONAL!B:B,0,0)</f>
        <v>0</v>
      </c>
      <c r="E39" s="18">
        <v>800</v>
      </c>
      <c r="F39" s="18">
        <v>1000</v>
      </c>
      <c r="G39" s="18">
        <v>2000</v>
      </c>
      <c r="H39" s="19">
        <f t="shared" si="4"/>
        <v>0</v>
      </c>
      <c r="I39" s="20">
        <f t="shared" si="5"/>
        <v>0</v>
      </c>
      <c r="K39" s="9"/>
    </row>
    <row r="40" spans="2:18" ht="22.95" customHeight="1" x14ac:dyDescent="0.3">
      <c r="B40" s="150" t="s">
        <v>48</v>
      </c>
      <c r="C40" s="87"/>
      <c r="D40" s="151">
        <f>SUM(D31:D39)</f>
        <v>0</v>
      </c>
      <c r="E40" s="87"/>
      <c r="F40" s="87"/>
      <c r="G40" s="87"/>
      <c r="H40" s="87">
        <f>SUM(H31:H39)</f>
        <v>0</v>
      </c>
      <c r="I40" s="133">
        <f>SUM(I31:I39)</f>
        <v>0</v>
      </c>
      <c r="K40" s="9"/>
      <c r="L40" s="145" t="s">
        <v>71</v>
      </c>
      <c r="M40" s="138"/>
      <c r="N40" s="138"/>
      <c r="O40" s="138"/>
      <c r="P40" s="138"/>
      <c r="Q40" s="138"/>
      <c r="R40" s="156"/>
    </row>
    <row r="41" spans="2:18" ht="22.95" customHeight="1" thickBot="1" x14ac:dyDescent="0.35">
      <c r="B41" s="90"/>
      <c r="C41" s="88"/>
      <c r="D41" s="152"/>
      <c r="E41" s="88"/>
      <c r="F41" s="88"/>
      <c r="G41" s="88"/>
      <c r="H41" s="88"/>
      <c r="I41" s="97"/>
      <c r="K41" s="9"/>
      <c r="L41" s="134" t="s">
        <v>72</v>
      </c>
      <c r="M41" s="101"/>
      <c r="N41" s="101"/>
      <c r="O41" s="101"/>
      <c r="P41" s="101"/>
      <c r="Q41" s="101"/>
      <c r="R41" s="102"/>
    </row>
    <row r="42" spans="2:18" ht="22.95" customHeight="1" x14ac:dyDescent="0.3">
      <c r="B42" s="142" t="s">
        <v>73</v>
      </c>
      <c r="C42" s="122"/>
      <c r="D42" s="122">
        <f>SUM(D27,D40)</f>
        <v>0</v>
      </c>
      <c r="E42" s="122"/>
      <c r="F42" s="122"/>
      <c r="G42" s="122"/>
      <c r="H42" s="122">
        <f>SUM(H27,H40)</f>
        <v>0</v>
      </c>
      <c r="I42" s="124">
        <f>SUM(I27,I40)</f>
        <v>0</v>
      </c>
      <c r="K42" s="9"/>
      <c r="L42" s="114" t="s">
        <v>74</v>
      </c>
      <c r="M42" s="85"/>
      <c r="N42" s="85"/>
      <c r="O42" s="85"/>
      <c r="P42" s="85"/>
      <c r="Q42" s="85"/>
      <c r="R42" s="115"/>
    </row>
    <row r="43" spans="2:18" ht="25.05" customHeight="1" thickBot="1" x14ac:dyDescent="0.35">
      <c r="B43" s="128"/>
      <c r="C43" s="83"/>
      <c r="D43" s="83"/>
      <c r="E43" s="83"/>
      <c r="F43" s="83"/>
      <c r="G43" s="83"/>
      <c r="H43" s="83"/>
      <c r="I43" s="125"/>
      <c r="K43" s="9"/>
      <c r="L43" s="78"/>
      <c r="M43" s="67"/>
      <c r="N43" s="67"/>
      <c r="O43" s="67"/>
      <c r="P43" s="67"/>
      <c r="Q43" s="67"/>
      <c r="R43" s="107"/>
    </row>
    <row r="44" spans="2:18" ht="22.95" customHeight="1" x14ac:dyDescent="0.3">
      <c r="B44" s="29" t="s">
        <v>75</v>
      </c>
      <c r="C44" s="9"/>
      <c r="D44" s="2"/>
      <c r="E44" s="2"/>
      <c r="F44" s="2"/>
      <c r="G44" s="2"/>
      <c r="H44" s="2"/>
      <c r="I44" s="2"/>
      <c r="K44" s="9"/>
      <c r="L44" s="114" t="s">
        <v>76</v>
      </c>
      <c r="M44" s="85"/>
      <c r="N44" s="85"/>
      <c r="O44" s="85"/>
      <c r="P44" s="85"/>
      <c r="Q44" s="85"/>
      <c r="R44" s="115"/>
    </row>
    <row r="45" spans="2:18" ht="22.95" customHeight="1" x14ac:dyDescent="0.3">
      <c r="B45" s="158" t="s">
        <v>77</v>
      </c>
      <c r="C45" s="9"/>
      <c r="D45" s="2"/>
      <c r="E45" s="2"/>
      <c r="F45" s="2"/>
      <c r="G45" s="2"/>
      <c r="H45" s="2"/>
      <c r="I45" s="2"/>
      <c r="K45" s="9"/>
      <c r="L45" s="78"/>
      <c r="M45" s="67"/>
      <c r="N45" s="67"/>
      <c r="O45" s="67"/>
      <c r="P45" s="67"/>
      <c r="Q45" s="67"/>
      <c r="R45" s="107"/>
    </row>
    <row r="46" spans="2:18" ht="22.95" customHeight="1" thickBot="1" x14ac:dyDescent="0.35">
      <c r="B46" s="109"/>
      <c r="C46" s="9"/>
      <c r="D46" s="2"/>
      <c r="E46" s="2"/>
      <c r="F46" s="2"/>
      <c r="G46" s="2"/>
      <c r="H46" s="2"/>
      <c r="I46" s="2"/>
      <c r="K46" s="9"/>
      <c r="L46" s="100" t="s">
        <v>78</v>
      </c>
      <c r="M46" s="85"/>
      <c r="N46" s="85"/>
      <c r="O46" s="85"/>
      <c r="P46" s="85"/>
      <c r="Q46" s="85"/>
      <c r="R46" s="55"/>
    </row>
    <row r="47" spans="2:18" ht="24.75" customHeight="1" x14ac:dyDescent="0.3">
      <c r="B47" s="126" t="s">
        <v>12</v>
      </c>
      <c r="C47" s="99" t="s">
        <v>13</v>
      </c>
      <c r="D47" s="99" t="s">
        <v>14</v>
      </c>
      <c r="E47" s="82" t="s">
        <v>15</v>
      </c>
      <c r="F47" s="77"/>
      <c r="G47" s="70"/>
      <c r="H47" s="99" t="s">
        <v>16</v>
      </c>
      <c r="I47" s="129" t="s">
        <v>17</v>
      </c>
      <c r="K47" s="30"/>
      <c r="L47" s="78"/>
      <c r="M47" s="67"/>
      <c r="N47" s="67"/>
      <c r="O47" s="67"/>
      <c r="P47" s="67"/>
      <c r="Q47" s="67"/>
      <c r="R47" s="57"/>
    </row>
    <row r="48" spans="2:18" ht="24.75" customHeight="1" thickBot="1" x14ac:dyDescent="0.35">
      <c r="B48" s="90"/>
      <c r="C48" s="65"/>
      <c r="D48" s="65"/>
      <c r="E48" s="93"/>
      <c r="F48" s="94"/>
      <c r="G48" s="105"/>
      <c r="H48" s="65"/>
      <c r="I48" s="97"/>
      <c r="L48" s="114" t="s">
        <v>79</v>
      </c>
      <c r="M48" s="85"/>
      <c r="N48" s="85"/>
      <c r="O48" s="85"/>
      <c r="P48" s="85"/>
      <c r="Q48" s="85"/>
      <c r="R48" s="115"/>
    </row>
    <row r="49" spans="2:18" ht="24.75" customHeight="1" x14ac:dyDescent="0.3">
      <c r="B49" s="16" t="s">
        <v>80</v>
      </c>
      <c r="C49" s="17">
        <f>_xlfn.XLOOKUP(B49,PRICERUNNING!A:A,PRICERUNNING!B:B,0,0)</f>
        <v>0</v>
      </c>
      <c r="D49" s="18">
        <f>_xlfn.XLOOKUP(B49,RUNNING!A:A,RUNNING!B:B,0,0)</f>
        <v>0</v>
      </c>
      <c r="E49" s="66">
        <v>40</v>
      </c>
      <c r="F49" s="67"/>
      <c r="G49" s="67"/>
      <c r="H49" s="31">
        <f t="shared" ref="H49:H63" si="6">C49*D49</f>
        <v>0</v>
      </c>
      <c r="I49" s="32">
        <f t="shared" ref="I49:I63" si="7">D49*E49</f>
        <v>0</v>
      </c>
      <c r="L49" s="78"/>
      <c r="M49" s="67"/>
      <c r="N49" s="67"/>
      <c r="O49" s="67"/>
      <c r="P49" s="67"/>
      <c r="Q49" s="67"/>
      <c r="R49" s="107"/>
    </row>
    <row r="50" spans="2:18" ht="24.75" customHeight="1" x14ac:dyDescent="0.3">
      <c r="B50" s="21" t="s">
        <v>81</v>
      </c>
      <c r="C50" s="17">
        <f>_xlfn.XLOOKUP(B50,PRICERUNNING!A:A,PRICERUNNING!B:B,0,0)</f>
        <v>0</v>
      </c>
      <c r="D50" s="18">
        <f>_xlfn.XLOOKUP(B50,RUNNING!A:A,RUNNING!B:B,0,0)</f>
        <v>0</v>
      </c>
      <c r="E50" s="66">
        <v>80</v>
      </c>
      <c r="F50" s="67"/>
      <c r="G50" s="67"/>
      <c r="H50" s="31">
        <f t="shared" si="6"/>
        <v>0</v>
      </c>
      <c r="I50" s="32">
        <f t="shared" si="7"/>
        <v>0</v>
      </c>
      <c r="L50" s="100" t="s">
        <v>82</v>
      </c>
      <c r="M50" s="85"/>
      <c r="N50" s="85"/>
      <c r="O50" s="85"/>
      <c r="P50" s="85"/>
      <c r="Q50" s="85"/>
      <c r="R50" s="55"/>
    </row>
    <row r="51" spans="2:18" ht="24.75" customHeight="1" x14ac:dyDescent="0.3">
      <c r="B51" s="21" t="s">
        <v>83</v>
      </c>
      <c r="C51" s="17">
        <f>_xlfn.XLOOKUP(B51,PRICERUNNING!A:A,PRICERUNNING!B:B,0,0)</f>
        <v>0</v>
      </c>
      <c r="D51" s="18">
        <f>_xlfn.XLOOKUP(B51,RUNNING!A:A,RUNNING!B:B,0,0)</f>
        <v>0</v>
      </c>
      <c r="E51" s="66">
        <v>80</v>
      </c>
      <c r="F51" s="67"/>
      <c r="G51" s="67"/>
      <c r="H51" s="31">
        <f t="shared" si="6"/>
        <v>0</v>
      </c>
      <c r="I51" s="32">
        <f t="shared" si="7"/>
        <v>0</v>
      </c>
      <c r="K51" s="2"/>
      <c r="L51" s="78"/>
      <c r="M51" s="67"/>
      <c r="N51" s="67"/>
      <c r="O51" s="67"/>
      <c r="P51" s="67"/>
      <c r="Q51" s="67"/>
      <c r="R51" s="57"/>
    </row>
    <row r="52" spans="2:18" ht="24.75" customHeight="1" x14ac:dyDescent="0.3">
      <c r="B52" s="16" t="s">
        <v>84</v>
      </c>
      <c r="C52" s="17">
        <f>_xlfn.XLOOKUP(B52,PRICERUNNING!A:A,PRICERUNNING!B:B,0,0)</f>
        <v>0</v>
      </c>
      <c r="D52" s="18">
        <f>_xlfn.XLOOKUP(B52,RUNNING!A:A,RUNNING!B:B,0,0)</f>
        <v>0</v>
      </c>
      <c r="E52" s="66">
        <v>80</v>
      </c>
      <c r="F52" s="67"/>
      <c r="G52" s="67"/>
      <c r="H52" s="31">
        <f t="shared" si="6"/>
        <v>0</v>
      </c>
      <c r="I52" s="32">
        <f t="shared" si="7"/>
        <v>0</v>
      </c>
      <c r="K52" s="33"/>
      <c r="L52" s="100" t="s">
        <v>85</v>
      </c>
      <c r="M52" s="101"/>
      <c r="N52" s="101"/>
      <c r="O52" s="101"/>
      <c r="P52" s="101"/>
      <c r="Q52" s="101"/>
      <c r="R52" s="102"/>
    </row>
    <row r="53" spans="2:18" ht="24.75" customHeight="1" x14ac:dyDescent="0.3">
      <c r="B53" s="16" t="s">
        <v>86</v>
      </c>
      <c r="C53" s="17">
        <f>_xlfn.XLOOKUP(B53,PRICERUNNING!A:A,PRICERUNNING!B:B,0,0)</f>
        <v>0</v>
      </c>
      <c r="D53" s="18">
        <f>_xlfn.XLOOKUP(B53,RUNNING!A:A,RUNNING!B:B,0,0)</f>
        <v>0</v>
      </c>
      <c r="E53" s="66">
        <v>80</v>
      </c>
      <c r="F53" s="67"/>
      <c r="G53" s="67"/>
      <c r="H53" s="31">
        <f t="shared" si="6"/>
        <v>0</v>
      </c>
      <c r="I53" s="32">
        <f t="shared" si="7"/>
        <v>0</v>
      </c>
      <c r="K53" s="34"/>
      <c r="L53" s="100" t="s">
        <v>87</v>
      </c>
      <c r="M53" s="85"/>
      <c r="N53" s="85"/>
      <c r="O53" s="85"/>
      <c r="P53" s="85"/>
      <c r="Q53" s="85"/>
      <c r="R53" s="55"/>
    </row>
    <row r="54" spans="2:18" ht="23.25" customHeight="1" x14ac:dyDescent="0.3">
      <c r="B54" s="21" t="s">
        <v>88</v>
      </c>
      <c r="C54" s="17">
        <f>_xlfn.XLOOKUP(B54,PRICERUNNING!A:A,PRICERUNNING!B:B,0,0)</f>
        <v>0</v>
      </c>
      <c r="D54" s="18">
        <f>_xlfn.XLOOKUP(B54,RUNNING!A:A,RUNNING!B:B,0,0)</f>
        <v>0</v>
      </c>
      <c r="E54" s="66">
        <v>120</v>
      </c>
      <c r="F54" s="67"/>
      <c r="G54" s="67"/>
      <c r="H54" s="31">
        <f t="shared" si="6"/>
        <v>0</v>
      </c>
      <c r="I54" s="32">
        <f t="shared" si="7"/>
        <v>0</v>
      </c>
      <c r="K54" s="34"/>
      <c r="L54" s="120"/>
      <c r="M54" s="110"/>
      <c r="N54" s="110"/>
      <c r="O54" s="110"/>
      <c r="P54" s="110"/>
      <c r="Q54" s="110"/>
      <c r="R54" s="62"/>
    </row>
    <row r="55" spans="2:18" ht="23.25" customHeight="1" x14ac:dyDescent="0.3">
      <c r="B55" s="21" t="s">
        <v>89</v>
      </c>
      <c r="C55" s="17">
        <f>_xlfn.XLOOKUP(B55,PRICERUNNING!A:A,PRICERUNNING!B:B,0,0)</f>
        <v>0</v>
      </c>
      <c r="D55" s="18">
        <f>_xlfn.XLOOKUP(B55,RUNNING!A:A,RUNNING!B:B,0,0)</f>
        <v>0</v>
      </c>
      <c r="E55" s="66">
        <v>120</v>
      </c>
      <c r="F55" s="67"/>
      <c r="G55" s="67"/>
      <c r="H55" s="31">
        <f t="shared" si="6"/>
        <v>0</v>
      </c>
      <c r="I55" s="32">
        <f t="shared" si="7"/>
        <v>0</v>
      </c>
      <c r="K55" s="34"/>
      <c r="L55" s="78"/>
      <c r="M55" s="67"/>
      <c r="N55" s="67"/>
      <c r="O55" s="67"/>
      <c r="P55" s="67"/>
      <c r="Q55" s="67"/>
      <c r="R55" s="57"/>
    </row>
    <row r="56" spans="2:18" ht="23.25" customHeight="1" x14ac:dyDescent="0.3">
      <c r="B56" s="21" t="s">
        <v>90</v>
      </c>
      <c r="C56" s="17">
        <f>_xlfn.XLOOKUP(B56,PRICERUNNING!A:A,PRICERUNNING!B:B,0,0)</f>
        <v>0</v>
      </c>
      <c r="D56" s="18">
        <f>_xlfn.XLOOKUP(B56,RUNNING!A:A,RUNNING!B:B,0,0)</f>
        <v>0</v>
      </c>
      <c r="E56" s="66">
        <v>120</v>
      </c>
      <c r="F56" s="67"/>
      <c r="G56" s="67"/>
      <c r="H56" s="31">
        <f t="shared" si="6"/>
        <v>0</v>
      </c>
      <c r="I56" s="32">
        <f t="shared" si="7"/>
        <v>0</v>
      </c>
      <c r="J56" s="1"/>
      <c r="K56" s="34"/>
      <c r="L56" s="100" t="s">
        <v>91</v>
      </c>
      <c r="M56" s="85"/>
      <c r="N56" s="85"/>
      <c r="O56" s="85"/>
      <c r="P56" s="85"/>
      <c r="Q56" s="85"/>
      <c r="R56" s="55"/>
    </row>
    <row r="57" spans="2:18" ht="23.25" customHeight="1" x14ac:dyDescent="0.3">
      <c r="B57" s="21" t="s">
        <v>92</v>
      </c>
      <c r="C57" s="17">
        <f>_xlfn.XLOOKUP(B57,PRICERUNNING!A:A,PRICERUNNING!B:B,0,0)</f>
        <v>0</v>
      </c>
      <c r="D57" s="18">
        <f>_xlfn.XLOOKUP(B57,RUNNING!A:A,RUNNING!B:B,0,0)</f>
        <v>0</v>
      </c>
      <c r="E57" s="66">
        <v>120</v>
      </c>
      <c r="F57" s="67"/>
      <c r="G57" s="67"/>
      <c r="H57" s="31">
        <f t="shared" si="6"/>
        <v>0</v>
      </c>
      <c r="I57" s="32">
        <f t="shared" si="7"/>
        <v>0</v>
      </c>
      <c r="J57" s="1"/>
      <c r="K57" s="34"/>
      <c r="L57" s="78"/>
      <c r="M57" s="67"/>
      <c r="N57" s="67"/>
      <c r="O57" s="67"/>
      <c r="P57" s="67"/>
      <c r="Q57" s="67"/>
      <c r="R57" s="57"/>
    </row>
    <row r="58" spans="2:18" ht="23.25" customHeight="1" x14ac:dyDescent="0.3">
      <c r="B58" s="21" t="s">
        <v>93</v>
      </c>
      <c r="C58" s="17">
        <f>_xlfn.XLOOKUP(B58,PRICERUNNING!A:A,PRICERUNNING!B:B,0,0)</f>
        <v>0</v>
      </c>
      <c r="D58" s="18">
        <f>_xlfn.XLOOKUP(B58,RUNNING!A:A,RUNNING!B:B,0,0)</f>
        <v>0</v>
      </c>
      <c r="E58" s="66">
        <v>120</v>
      </c>
      <c r="F58" s="67"/>
      <c r="G58" s="67"/>
      <c r="H58" s="31">
        <f t="shared" si="6"/>
        <v>0</v>
      </c>
      <c r="I58" s="32">
        <f t="shared" si="7"/>
        <v>0</v>
      </c>
      <c r="J58" s="1"/>
      <c r="K58" s="34"/>
      <c r="L58" s="100" t="s">
        <v>94</v>
      </c>
      <c r="M58" s="85"/>
      <c r="N58" s="85"/>
      <c r="O58" s="85"/>
      <c r="P58" s="85"/>
      <c r="Q58" s="85"/>
      <c r="R58" s="55"/>
    </row>
    <row r="59" spans="2:18" ht="23.25" customHeight="1" thickBot="1" x14ac:dyDescent="0.35">
      <c r="B59" s="21" t="s">
        <v>95</v>
      </c>
      <c r="C59" s="17">
        <f>_xlfn.XLOOKUP(B59,PRICERUNNING!A:A,PRICERUNNING!B:B,0,0)</f>
        <v>0</v>
      </c>
      <c r="D59" s="18">
        <f>_xlfn.XLOOKUP(B59,RUNNING!A:A,RUNNING!B:B,0,0)</f>
        <v>0</v>
      </c>
      <c r="E59" s="66">
        <v>120</v>
      </c>
      <c r="F59" s="67"/>
      <c r="G59" s="67"/>
      <c r="H59" s="31">
        <f t="shared" si="6"/>
        <v>0</v>
      </c>
      <c r="I59" s="32">
        <f t="shared" si="7"/>
        <v>0</v>
      </c>
      <c r="J59" s="1"/>
      <c r="K59" s="34"/>
      <c r="L59" s="78"/>
      <c r="M59" s="67"/>
      <c r="N59" s="67"/>
      <c r="O59" s="67"/>
      <c r="P59" s="67"/>
      <c r="Q59" s="67"/>
      <c r="R59" s="57"/>
    </row>
    <row r="60" spans="2:18" ht="23.25" customHeight="1" thickBot="1" x14ac:dyDescent="0.35">
      <c r="B60" s="21" t="s">
        <v>96</v>
      </c>
      <c r="C60" s="17">
        <f>_xlfn.XLOOKUP(B60,PRICERUNNING!A:A,PRICERUNNING!B:B,0,0)</f>
        <v>0</v>
      </c>
      <c r="D60" s="18">
        <f>_xlfn.XLOOKUP(B60,RUNNING!A:A,RUNNING!B:B,0,0)</f>
        <v>0</v>
      </c>
      <c r="E60" s="66">
        <v>120</v>
      </c>
      <c r="F60" s="67"/>
      <c r="G60" s="67"/>
      <c r="H60" s="31">
        <f t="shared" si="6"/>
        <v>0</v>
      </c>
      <c r="I60" s="32">
        <f t="shared" si="7"/>
        <v>0</v>
      </c>
      <c r="J60" s="1"/>
      <c r="K60" s="34"/>
    </row>
    <row r="61" spans="2:18" ht="23.25" customHeight="1" x14ac:dyDescent="0.3">
      <c r="B61" s="21" t="s">
        <v>97</v>
      </c>
      <c r="C61" s="17">
        <f>_xlfn.XLOOKUP(B61,PRICERUNNING!A:A,PRICERUNNING!B:B,0,0)</f>
        <v>0</v>
      </c>
      <c r="D61" s="18">
        <f>_xlfn.XLOOKUP(B61,RUNNING!A:A,RUNNING!B:B,0,0)</f>
        <v>0</v>
      </c>
      <c r="E61" s="66">
        <v>120</v>
      </c>
      <c r="F61" s="67"/>
      <c r="G61" s="67"/>
      <c r="H61" s="31">
        <f t="shared" si="6"/>
        <v>0</v>
      </c>
      <c r="I61" s="32">
        <f t="shared" si="7"/>
        <v>0</v>
      </c>
      <c r="J61" s="1"/>
      <c r="K61" s="34"/>
      <c r="L61" s="126" t="s">
        <v>98</v>
      </c>
      <c r="M61" s="104" t="s">
        <v>99</v>
      </c>
      <c r="N61" s="70"/>
      <c r="O61" s="99" t="s">
        <v>17</v>
      </c>
      <c r="P61" s="70"/>
      <c r="Q61" s="99" t="s">
        <v>100</v>
      </c>
      <c r="R61" s="70"/>
    </row>
    <row r="62" spans="2:18" ht="23.25" customHeight="1" x14ac:dyDescent="0.3">
      <c r="B62" s="21" t="s">
        <v>101</v>
      </c>
      <c r="C62" s="17">
        <f>_xlfn.XLOOKUP(B62,PRICERUNNING!A:A,PRICERUNNING!B:B,0,0)</f>
        <v>0</v>
      </c>
      <c r="D62" s="18">
        <f>_xlfn.XLOOKUP(B62,RUNNING!A:A,RUNNING!B:B,0,0)</f>
        <v>0</v>
      </c>
      <c r="E62" s="66">
        <v>120</v>
      </c>
      <c r="F62" s="67"/>
      <c r="G62" s="67"/>
      <c r="H62" s="31">
        <f t="shared" si="6"/>
        <v>0</v>
      </c>
      <c r="I62" s="32">
        <f t="shared" si="7"/>
        <v>0</v>
      </c>
      <c r="K62" s="34"/>
      <c r="L62" s="90"/>
      <c r="M62" s="56"/>
      <c r="N62" s="57"/>
      <c r="O62" s="56"/>
      <c r="P62" s="57"/>
      <c r="Q62" s="56"/>
      <c r="R62" s="57"/>
    </row>
    <row r="63" spans="2:18" ht="23.25" customHeight="1" thickBot="1" x14ac:dyDescent="0.35">
      <c r="B63" s="21" t="s">
        <v>102</v>
      </c>
      <c r="C63" s="17">
        <f>_xlfn.XLOOKUP(B63,PRICERUNNING!A:A,PRICERUNNING!B:B,0,0)</f>
        <v>0</v>
      </c>
      <c r="D63" s="18">
        <f>_xlfn.XLOOKUP(B63,RUNNING!A:A,RUNNING!B:B,0,0)</f>
        <v>0</v>
      </c>
      <c r="E63" s="66">
        <v>140</v>
      </c>
      <c r="F63" s="67"/>
      <c r="G63" s="67"/>
      <c r="H63" s="35">
        <f t="shared" si="6"/>
        <v>0</v>
      </c>
      <c r="I63" s="36">
        <f t="shared" si="7"/>
        <v>0</v>
      </c>
      <c r="K63" s="34"/>
      <c r="L63" s="118" t="s">
        <v>103</v>
      </c>
      <c r="M63" s="154">
        <f>H42</f>
        <v>0</v>
      </c>
      <c r="N63" s="72"/>
      <c r="O63" s="143" t="s">
        <v>104</v>
      </c>
      <c r="P63" s="72"/>
      <c r="Q63" s="141"/>
      <c r="R63" s="115"/>
    </row>
    <row r="64" spans="2:18" ht="24.75" customHeight="1" x14ac:dyDescent="0.3">
      <c r="B64" s="139" t="s">
        <v>48</v>
      </c>
      <c r="C64" s="122"/>
      <c r="D64" s="75">
        <f>SUM(D49:D63)</f>
        <v>0</v>
      </c>
      <c r="E64" s="122"/>
      <c r="F64" s="77"/>
      <c r="G64" s="70"/>
      <c r="H64" s="64">
        <f>SUM(H49:H63)</f>
        <v>0</v>
      </c>
      <c r="I64" s="96">
        <f>SUM(I49:I63)</f>
        <v>0</v>
      </c>
      <c r="K64" s="34"/>
      <c r="L64" s="90"/>
      <c r="M64" s="73"/>
      <c r="N64" s="74"/>
      <c r="O64" s="73"/>
      <c r="P64" s="74"/>
      <c r="Q64" s="56"/>
      <c r="R64" s="107"/>
    </row>
    <row r="65" spans="2:18" ht="24.75" customHeight="1" thickBot="1" x14ac:dyDescent="0.35">
      <c r="B65" s="90"/>
      <c r="C65" s="83"/>
      <c r="D65" s="65"/>
      <c r="E65" s="93"/>
      <c r="F65" s="94"/>
      <c r="G65" s="105"/>
      <c r="H65" s="65"/>
      <c r="I65" s="97"/>
      <c r="K65" s="34"/>
      <c r="L65" s="89" t="s">
        <v>105</v>
      </c>
      <c r="M65" s="132">
        <f>P37</f>
        <v>0</v>
      </c>
      <c r="N65" s="72"/>
      <c r="O65" s="132">
        <f>Q37</f>
        <v>0</v>
      </c>
      <c r="P65" s="72"/>
      <c r="Q65" s="141"/>
      <c r="R65" s="115"/>
    </row>
    <row r="66" spans="2:18" ht="24.75" customHeight="1" x14ac:dyDescent="0.3">
      <c r="B66" s="146" t="s">
        <v>106</v>
      </c>
      <c r="C66" s="110"/>
      <c r="K66" s="34"/>
      <c r="L66" s="90"/>
      <c r="M66" s="73"/>
      <c r="N66" s="74"/>
      <c r="O66" s="73"/>
      <c r="P66" s="74"/>
      <c r="Q66" s="56"/>
      <c r="R66" s="107"/>
    </row>
    <row r="67" spans="2:18" ht="24.75" customHeight="1" thickBot="1" x14ac:dyDescent="0.35">
      <c r="B67" s="94"/>
      <c r="C67" s="94"/>
      <c r="K67" s="34"/>
      <c r="L67" s="118" t="s">
        <v>107</v>
      </c>
      <c r="M67" s="132">
        <f>H64</f>
        <v>0</v>
      </c>
      <c r="N67" s="72"/>
      <c r="O67" s="132">
        <f>I64</f>
        <v>0</v>
      </c>
      <c r="P67" s="72"/>
      <c r="Q67" s="141"/>
      <c r="R67" s="115"/>
    </row>
    <row r="68" spans="2:18" ht="24.75" customHeight="1" x14ac:dyDescent="0.3">
      <c r="B68" s="112" t="s">
        <v>12</v>
      </c>
      <c r="C68" s="99" t="s">
        <v>13</v>
      </c>
      <c r="D68" s="99" t="s">
        <v>14</v>
      </c>
      <c r="E68" s="82" t="s">
        <v>15</v>
      </c>
      <c r="F68" s="77"/>
      <c r="G68" s="70"/>
      <c r="H68" s="82" t="s">
        <v>16</v>
      </c>
      <c r="I68" s="153" t="s">
        <v>17</v>
      </c>
      <c r="K68" s="34"/>
      <c r="L68" s="90"/>
      <c r="M68" s="73"/>
      <c r="N68" s="74"/>
      <c r="O68" s="73"/>
      <c r="P68" s="74"/>
      <c r="Q68" s="56"/>
      <c r="R68" s="107"/>
    </row>
    <row r="69" spans="2:18" ht="24.75" customHeight="1" thickBot="1" x14ac:dyDescent="0.35">
      <c r="B69" s="113"/>
      <c r="C69" s="65"/>
      <c r="D69" s="65"/>
      <c r="E69" s="93"/>
      <c r="F69" s="94"/>
      <c r="G69" s="105"/>
      <c r="H69" s="83"/>
      <c r="I69" s="125"/>
      <c r="K69" s="34"/>
      <c r="L69" s="118" t="s">
        <v>108</v>
      </c>
      <c r="M69" s="132">
        <f>H87</f>
        <v>0</v>
      </c>
      <c r="N69" s="72"/>
      <c r="O69" s="132">
        <f>I87</f>
        <v>0</v>
      </c>
      <c r="P69" s="72"/>
      <c r="Q69" s="157"/>
      <c r="R69" s="115"/>
    </row>
    <row r="70" spans="2:18" ht="24.75" customHeight="1" thickBot="1" x14ac:dyDescent="0.35">
      <c r="B70" s="21" t="s">
        <v>109</v>
      </c>
      <c r="C70" s="18">
        <f>_xlfn.XLOOKUP(B70,PRICELIQUIDATION!A:A,PRICELIQUIDATION!B:B,0,0)</f>
        <v>0</v>
      </c>
      <c r="D70" s="31">
        <f>_xlfn.XLOOKUP(B70,LIQUIDATION!A:A,LIQUIDATION!B:B,0,0)</f>
        <v>0</v>
      </c>
      <c r="E70" s="66">
        <v>20</v>
      </c>
      <c r="F70" s="67"/>
      <c r="G70" s="67"/>
      <c r="H70" s="37">
        <f t="shared" ref="H70:H86" si="8">C70*D70</f>
        <v>0</v>
      </c>
      <c r="I70" s="32">
        <f t="shared" ref="I70:I86" si="9">D70*E70</f>
        <v>0</v>
      </c>
      <c r="K70" s="34"/>
      <c r="L70" s="90"/>
      <c r="M70" s="73"/>
      <c r="N70" s="74"/>
      <c r="O70" s="73"/>
      <c r="P70" s="74"/>
      <c r="Q70" s="63"/>
      <c r="R70" s="59"/>
    </row>
    <row r="71" spans="2:18" ht="24.75" customHeight="1" x14ac:dyDescent="0.3">
      <c r="B71" s="21" t="s">
        <v>110</v>
      </c>
      <c r="C71" s="18">
        <f>_xlfn.XLOOKUP(B71,PRICELIQUIDATION!A:A,PRICELIQUIDATION!B:B,0,0)</f>
        <v>0</v>
      </c>
      <c r="D71" s="31">
        <f>_xlfn.XLOOKUP(B71,LIQUIDATION!A:A,LIQUIDATION!B:B,0,0)</f>
        <v>0</v>
      </c>
      <c r="E71" s="66">
        <v>20</v>
      </c>
      <c r="F71" s="67"/>
      <c r="G71" s="67"/>
      <c r="H71" s="37">
        <f t="shared" si="8"/>
        <v>0</v>
      </c>
      <c r="I71" s="32">
        <f t="shared" si="9"/>
        <v>0</v>
      </c>
      <c r="L71" s="145" t="s">
        <v>111</v>
      </c>
      <c r="M71" s="84">
        <f>SUM(M63:N70)</f>
        <v>0</v>
      </c>
      <c r="N71" s="70"/>
      <c r="O71" s="84">
        <f>SUM(O65:P70)</f>
        <v>0</v>
      </c>
      <c r="P71" s="70"/>
      <c r="Q71" s="123"/>
      <c r="R71" s="70"/>
    </row>
    <row r="72" spans="2:18" ht="24.75" customHeight="1" thickBot="1" x14ac:dyDescent="0.35">
      <c r="B72" s="21" t="s">
        <v>112</v>
      </c>
      <c r="C72" s="18">
        <f>_xlfn.XLOOKUP(B72,PRICELIQUIDATION!A:A,PRICELIQUIDATION!B:B,0,0)</f>
        <v>0</v>
      </c>
      <c r="D72" s="31">
        <f>_xlfn.XLOOKUP(B72,LIQUIDATION!A:A,LIQUIDATION!B:B,0,0)</f>
        <v>0</v>
      </c>
      <c r="E72" s="66">
        <v>40</v>
      </c>
      <c r="F72" s="67"/>
      <c r="G72" s="67"/>
      <c r="H72" s="37">
        <f t="shared" si="8"/>
        <v>0</v>
      </c>
      <c r="I72" s="32">
        <f t="shared" si="9"/>
        <v>0</v>
      </c>
      <c r="K72" s="13"/>
      <c r="L72" s="90"/>
      <c r="M72" s="56"/>
      <c r="N72" s="57"/>
      <c r="O72" s="56"/>
      <c r="P72" s="57"/>
      <c r="Q72" s="56"/>
      <c r="R72" s="57"/>
    </row>
    <row r="73" spans="2:18" ht="24.75" customHeight="1" x14ac:dyDescent="0.3">
      <c r="B73" s="21" t="s">
        <v>113</v>
      </c>
      <c r="C73" s="18">
        <f>_xlfn.XLOOKUP(B73,PRICELIQUIDATION!A:A,PRICELIQUIDATION!B:B,0,0)</f>
        <v>0</v>
      </c>
      <c r="D73" s="31">
        <f>_xlfn.XLOOKUP(B73,LIQUIDATION!A:A,LIQUIDATION!B:B,0,0)</f>
        <v>0</v>
      </c>
      <c r="E73" s="66">
        <v>40</v>
      </c>
      <c r="F73" s="67"/>
      <c r="G73" s="67"/>
      <c r="H73" s="37">
        <f t="shared" si="8"/>
        <v>0</v>
      </c>
      <c r="I73" s="32">
        <f t="shared" si="9"/>
        <v>0</v>
      </c>
      <c r="K73" s="13"/>
    </row>
    <row r="74" spans="2:18" ht="24.75" customHeight="1" x14ac:dyDescent="0.3">
      <c r="B74" s="21" t="s">
        <v>114</v>
      </c>
      <c r="C74" s="18">
        <f>_xlfn.XLOOKUP(B74,PRICELIQUIDATION!A:A,PRICELIQUIDATION!B:B,0,0)</f>
        <v>0</v>
      </c>
      <c r="D74" s="31">
        <f>_xlfn.XLOOKUP(B74,LIQUIDATION!A:A,LIQUIDATION!B:B,0,0)</f>
        <v>0</v>
      </c>
      <c r="E74" s="66">
        <v>40</v>
      </c>
      <c r="F74" s="67"/>
      <c r="G74" s="67"/>
      <c r="H74" s="37">
        <f t="shared" si="8"/>
        <v>0</v>
      </c>
      <c r="I74" s="32">
        <f t="shared" si="9"/>
        <v>0</v>
      </c>
      <c r="K74" s="2"/>
    </row>
    <row r="75" spans="2:18" ht="24.75" customHeight="1" thickBot="1" x14ac:dyDescent="0.35">
      <c r="B75" s="21" t="s">
        <v>115</v>
      </c>
      <c r="C75" s="18">
        <f>_xlfn.XLOOKUP(B75,PRICELIQUIDATION!A:A,PRICELIQUIDATION!B:B,0,0)</f>
        <v>0</v>
      </c>
      <c r="D75" s="31">
        <f>_xlfn.XLOOKUP(B75,LIQUIDATION!A:A,LIQUIDATION!B:B,0,0)</f>
        <v>0</v>
      </c>
      <c r="E75" s="66">
        <v>40</v>
      </c>
      <c r="F75" s="67"/>
      <c r="G75" s="67"/>
      <c r="H75" s="37">
        <f t="shared" si="8"/>
        <v>0</v>
      </c>
      <c r="I75" s="32">
        <f t="shared" si="9"/>
        <v>0</v>
      </c>
      <c r="K75" s="2"/>
      <c r="L75" s="2" t="s">
        <v>116</v>
      </c>
      <c r="M75" s="111">
        <f>SUM(D42,N37,D64,D87)</f>
        <v>0</v>
      </c>
      <c r="N75" s="110"/>
    </row>
    <row r="76" spans="2:18" ht="24.75" customHeight="1" x14ac:dyDescent="0.3">
      <c r="B76" s="21" t="s">
        <v>117</v>
      </c>
      <c r="C76" s="18">
        <f>_xlfn.XLOOKUP(B76,PRICELIQUIDATION!A:A,PRICELIQUIDATION!B:B,0,0)</f>
        <v>0</v>
      </c>
      <c r="D76" s="31">
        <f>_xlfn.XLOOKUP(B76,LIQUIDATION!A:A,LIQUIDATION!B:B,0,0)</f>
        <v>0</v>
      </c>
      <c r="E76" s="66">
        <v>80</v>
      </c>
      <c r="F76" s="67"/>
      <c r="G76" s="67"/>
      <c r="H76" s="37">
        <f t="shared" si="8"/>
        <v>0</v>
      </c>
      <c r="I76" s="32">
        <f t="shared" si="9"/>
        <v>0</v>
      </c>
      <c r="K76" s="2"/>
      <c r="L76" s="76" t="s">
        <v>118</v>
      </c>
      <c r="M76" s="77"/>
      <c r="N76" s="77"/>
      <c r="O76" s="77"/>
      <c r="P76" s="77"/>
      <c r="Q76" s="77"/>
      <c r="R76" s="70"/>
    </row>
    <row r="77" spans="2:18" ht="24.75" customHeight="1" thickBot="1" x14ac:dyDescent="0.35">
      <c r="B77" s="21" t="s">
        <v>119</v>
      </c>
      <c r="C77" s="18">
        <f>_xlfn.XLOOKUP(B77,PRICELIQUIDATION!A:A,PRICELIQUIDATION!B:B,0,0)</f>
        <v>0</v>
      </c>
      <c r="D77" s="31">
        <f>_xlfn.XLOOKUP(B77,LIQUIDATION!A:A,LIQUIDATION!B:B,0,0)</f>
        <v>0</v>
      </c>
      <c r="E77" s="66">
        <v>80</v>
      </c>
      <c r="F77" s="67"/>
      <c r="G77" s="67"/>
      <c r="H77" s="37">
        <f t="shared" si="8"/>
        <v>0</v>
      </c>
      <c r="I77" s="32">
        <f t="shared" si="9"/>
        <v>0</v>
      </c>
      <c r="K77" s="2"/>
      <c r="L77" s="78"/>
      <c r="M77" s="67"/>
      <c r="N77" s="67"/>
      <c r="O77" s="67"/>
      <c r="P77" s="67"/>
      <c r="Q77" s="67"/>
      <c r="R77" s="57"/>
    </row>
    <row r="78" spans="2:18" ht="24.75" customHeight="1" x14ac:dyDescent="0.3">
      <c r="B78" s="21" t="s">
        <v>120</v>
      </c>
      <c r="C78" s="18">
        <f>_xlfn.XLOOKUP(B78,PRICELIQUIDATION!A:A,PRICELIQUIDATION!B:B,0,0)</f>
        <v>0</v>
      </c>
      <c r="D78" s="31">
        <f>_xlfn.XLOOKUP(B78,LIQUIDATION!A:A,LIQUIDATION!B:B,0,0)</f>
        <v>0</v>
      </c>
      <c r="E78" s="66">
        <v>80</v>
      </c>
      <c r="F78" s="67"/>
      <c r="G78" s="67"/>
      <c r="H78" s="37">
        <f t="shared" si="8"/>
        <v>0</v>
      </c>
      <c r="I78" s="32">
        <f t="shared" si="9"/>
        <v>0</v>
      </c>
      <c r="K78" s="13"/>
      <c r="L78" s="135" t="s">
        <v>121</v>
      </c>
      <c r="M78" s="68"/>
      <c r="N78" s="62"/>
      <c r="O78" s="116" t="s">
        <v>122</v>
      </c>
      <c r="P78" s="62"/>
      <c r="Q78" s="68">
        <f>M78*70%</f>
        <v>0</v>
      </c>
      <c r="R78" s="62"/>
    </row>
    <row r="79" spans="2:18" ht="24.75" customHeight="1" x14ac:dyDescent="0.3">
      <c r="B79" s="21" t="s">
        <v>123</v>
      </c>
      <c r="C79" s="18">
        <f>_xlfn.XLOOKUP(B79,PRICELIQUIDATION!A:A,PRICELIQUIDATION!B:B,0,0)</f>
        <v>0</v>
      </c>
      <c r="D79" s="31">
        <f>_xlfn.XLOOKUP(B79,LIQUIDATION!A:A,LIQUIDATION!B:B,0,0)</f>
        <v>0</v>
      </c>
      <c r="E79" s="66">
        <v>80</v>
      </c>
      <c r="F79" s="67"/>
      <c r="G79" s="67"/>
      <c r="H79" s="37">
        <f t="shared" si="8"/>
        <v>0</v>
      </c>
      <c r="I79" s="32">
        <f t="shared" si="9"/>
        <v>0</v>
      </c>
      <c r="K79" s="13"/>
      <c r="L79" s="90"/>
      <c r="M79" s="56"/>
      <c r="N79" s="57"/>
      <c r="O79" s="56"/>
      <c r="P79" s="57"/>
      <c r="Q79" s="56"/>
      <c r="R79" s="57"/>
    </row>
    <row r="80" spans="2:18" ht="24.75" customHeight="1" x14ac:dyDescent="0.3">
      <c r="B80" s="21" t="s">
        <v>124</v>
      </c>
      <c r="C80" s="18">
        <f>_xlfn.XLOOKUP(B80,PRICELIQUIDATION!A:A,PRICELIQUIDATION!B:B,0,0)</f>
        <v>0</v>
      </c>
      <c r="D80" s="31">
        <f>_xlfn.XLOOKUP(B80,LIQUIDATION!A:A,LIQUIDATION!B:B,0,0)</f>
        <v>0</v>
      </c>
      <c r="E80" s="66">
        <v>80</v>
      </c>
      <c r="F80" s="67"/>
      <c r="G80" s="67"/>
      <c r="H80" s="37">
        <f t="shared" si="8"/>
        <v>0</v>
      </c>
      <c r="I80" s="32">
        <f t="shared" si="9"/>
        <v>0</v>
      </c>
      <c r="K80" s="13"/>
      <c r="L80" s="89" t="s">
        <v>125</v>
      </c>
      <c r="M80" s="71">
        <f>M78*110%</f>
        <v>0</v>
      </c>
      <c r="N80" s="72"/>
      <c r="O80" s="103" t="s">
        <v>126</v>
      </c>
      <c r="P80" s="72"/>
      <c r="Q80" s="71">
        <f>M78*80%</f>
        <v>0</v>
      </c>
      <c r="R80" s="72"/>
    </row>
    <row r="81" spans="1:18" ht="24.75" customHeight="1" x14ac:dyDescent="0.3">
      <c r="B81" s="21" t="s">
        <v>127</v>
      </c>
      <c r="C81" s="18">
        <f>_xlfn.XLOOKUP(B81,PRICELIQUIDATION!A:A,PRICELIQUIDATION!B:B,0,0)</f>
        <v>0</v>
      </c>
      <c r="D81" s="31">
        <f>_xlfn.XLOOKUP(B81,LIQUIDATION!A:A,LIQUIDATION!B:B,0,0)</f>
        <v>0</v>
      </c>
      <c r="E81" s="66">
        <v>150</v>
      </c>
      <c r="F81" s="67"/>
      <c r="G81" s="67"/>
      <c r="H81" s="37">
        <f t="shared" si="8"/>
        <v>0</v>
      </c>
      <c r="I81" s="32">
        <f t="shared" si="9"/>
        <v>0</v>
      </c>
      <c r="K81" s="13"/>
      <c r="L81" s="90"/>
      <c r="M81" s="73"/>
      <c r="N81" s="74"/>
      <c r="O81" s="73"/>
      <c r="P81" s="74"/>
      <c r="Q81" s="73"/>
      <c r="R81" s="74"/>
    </row>
    <row r="82" spans="1:18" ht="24.75" customHeight="1" x14ac:dyDescent="0.3">
      <c r="B82" s="21" t="s">
        <v>128</v>
      </c>
      <c r="C82" s="18">
        <f>_xlfn.XLOOKUP(B82,PRICELIQUIDATION!A:A,PRICELIQUIDATION!B:B,0,0)</f>
        <v>0</v>
      </c>
      <c r="D82" s="31">
        <f>_xlfn.XLOOKUP(B82,LIQUIDATION!A:A,LIQUIDATION!B:B,0,0)</f>
        <v>0</v>
      </c>
      <c r="E82" s="66">
        <v>150</v>
      </c>
      <c r="F82" s="67"/>
      <c r="G82" s="67"/>
      <c r="H82" s="37">
        <f t="shared" si="8"/>
        <v>0</v>
      </c>
      <c r="I82" s="32">
        <f t="shared" si="9"/>
        <v>0</v>
      </c>
      <c r="K82" s="2"/>
      <c r="L82" s="118" t="s">
        <v>129</v>
      </c>
      <c r="M82" s="79">
        <v>0</v>
      </c>
      <c r="N82" s="72"/>
      <c r="O82" s="79" t="s">
        <v>130</v>
      </c>
      <c r="P82" s="72"/>
      <c r="Q82" s="159">
        <f>IF(M71&lt;Q78,M82,IF(M71&lt;Q80,M84,IF(M71&lt;M78,M87,IF(M71&lt;M80,M90,M93))))</f>
        <v>1.1000000000000001</v>
      </c>
      <c r="R82" s="72"/>
    </row>
    <row r="83" spans="1:18" ht="24.75" customHeight="1" x14ac:dyDescent="0.3">
      <c r="B83" s="21" t="s">
        <v>131</v>
      </c>
      <c r="C83" s="18">
        <f>_xlfn.XLOOKUP(B83,PRICELIQUIDATION!A:A,PRICELIQUIDATION!B:B,0,0)</f>
        <v>0</v>
      </c>
      <c r="D83" s="31">
        <f>_xlfn.XLOOKUP(B83,LIQUIDATION!A:A,LIQUIDATION!B:B,0,0)</f>
        <v>0</v>
      </c>
      <c r="E83" s="66">
        <v>150</v>
      </c>
      <c r="F83" s="67"/>
      <c r="G83" s="67"/>
      <c r="H83" s="37">
        <f t="shared" si="8"/>
        <v>0</v>
      </c>
      <c r="I83" s="32">
        <f t="shared" si="9"/>
        <v>0</v>
      </c>
      <c r="K83" s="2"/>
      <c r="L83" s="144"/>
      <c r="M83" s="73"/>
      <c r="N83" s="74"/>
      <c r="O83" s="73"/>
      <c r="P83" s="74"/>
      <c r="Q83" s="80"/>
      <c r="R83" s="81"/>
    </row>
    <row r="84" spans="1:18" ht="24.75" customHeight="1" x14ac:dyDescent="0.3">
      <c r="B84" s="21" t="s">
        <v>132</v>
      </c>
      <c r="C84" s="18">
        <f>_xlfn.XLOOKUP(B84,PRICELIQUIDATION!A:A,PRICELIQUIDATION!B:B,0,0)</f>
        <v>0</v>
      </c>
      <c r="D84" s="31">
        <f>_xlfn.XLOOKUP(B84,LIQUIDATION!A:A,LIQUIDATION!B:B,0,0)</f>
        <v>0</v>
      </c>
      <c r="E84" s="66">
        <v>80</v>
      </c>
      <c r="F84" s="67"/>
      <c r="G84" s="67"/>
      <c r="H84" s="37">
        <f t="shared" si="8"/>
        <v>0</v>
      </c>
      <c r="I84" s="32">
        <f t="shared" si="9"/>
        <v>0</v>
      </c>
      <c r="L84" s="144"/>
      <c r="M84" s="79">
        <v>0.6</v>
      </c>
      <c r="N84" s="72"/>
      <c r="O84" s="79" t="s">
        <v>133</v>
      </c>
      <c r="P84" s="72"/>
      <c r="Q84" s="80"/>
      <c r="R84" s="81"/>
    </row>
    <row r="85" spans="1:18" ht="24.75" customHeight="1" x14ac:dyDescent="0.3">
      <c r="B85" s="21" t="s">
        <v>134</v>
      </c>
      <c r="C85" s="18">
        <f>_xlfn.XLOOKUP(B85,PRICELIQUIDATION!A:A,PRICELIQUIDATION!B:B,0,0)</f>
        <v>0</v>
      </c>
      <c r="D85" s="31">
        <f>_xlfn.XLOOKUP(B85,LIQUIDATION!A:A,LIQUIDATION!B:B,0,0)</f>
        <v>0</v>
      </c>
      <c r="E85" s="66">
        <v>80</v>
      </c>
      <c r="F85" s="67"/>
      <c r="G85" s="67"/>
      <c r="H85" s="37">
        <f t="shared" si="8"/>
        <v>0</v>
      </c>
      <c r="I85" s="32">
        <f t="shared" si="9"/>
        <v>0</v>
      </c>
      <c r="L85" s="144"/>
      <c r="M85" s="80"/>
      <c r="N85" s="81"/>
      <c r="O85" s="80"/>
      <c r="P85" s="81"/>
      <c r="Q85" s="80"/>
      <c r="R85" s="81"/>
    </row>
    <row r="86" spans="1:18" ht="24.75" customHeight="1" thickBot="1" x14ac:dyDescent="0.35">
      <c r="B86" s="21" t="s">
        <v>135</v>
      </c>
      <c r="C86" s="18">
        <f>_xlfn.XLOOKUP(B86,PRICELIQUIDATION!A:A,PRICELIQUIDATION!B:B,0,0)</f>
        <v>0</v>
      </c>
      <c r="D86" s="31">
        <f>_xlfn.XLOOKUP(B86,LIQUIDATION!A:A,LIQUIDATION!B:B,0,0)</f>
        <v>0</v>
      </c>
      <c r="E86" s="66">
        <v>150</v>
      </c>
      <c r="F86" s="67"/>
      <c r="G86" s="67"/>
      <c r="H86" s="37">
        <f t="shared" si="8"/>
        <v>0</v>
      </c>
      <c r="I86" s="32">
        <f t="shared" si="9"/>
        <v>0</v>
      </c>
      <c r="K86" s="2"/>
      <c r="L86" s="144"/>
      <c r="M86" s="73"/>
      <c r="N86" s="74"/>
      <c r="O86" s="73"/>
      <c r="P86" s="74"/>
      <c r="Q86" s="80"/>
      <c r="R86" s="81"/>
    </row>
    <row r="87" spans="1:18" ht="24.75" customHeight="1" x14ac:dyDescent="0.3">
      <c r="B87" s="142" t="s">
        <v>48</v>
      </c>
      <c r="C87" s="27"/>
      <c r="D87" s="122">
        <f>SUM(D70:D86)</f>
        <v>0</v>
      </c>
      <c r="E87" s="122"/>
      <c r="F87" s="77"/>
      <c r="G87" s="70"/>
      <c r="H87" s="64">
        <f>SUM(H70:H86)</f>
        <v>0</v>
      </c>
      <c r="I87" s="147">
        <f>SUM(I70:I86)</f>
        <v>0</v>
      </c>
      <c r="K87" s="2"/>
      <c r="L87" s="144"/>
      <c r="M87" s="79">
        <v>0.8</v>
      </c>
      <c r="N87" s="72"/>
      <c r="O87" s="79" t="s">
        <v>136</v>
      </c>
      <c r="P87" s="72"/>
      <c r="Q87" s="80"/>
      <c r="R87" s="81"/>
    </row>
    <row r="88" spans="1:18" ht="24.75" customHeight="1" thickBot="1" x14ac:dyDescent="0.35">
      <c r="B88" s="128"/>
      <c r="C88" s="28"/>
      <c r="D88" s="83"/>
      <c r="E88" s="93"/>
      <c r="F88" s="94"/>
      <c r="G88" s="105"/>
      <c r="H88" s="65"/>
      <c r="I88" s="125"/>
      <c r="K88" s="2"/>
      <c r="L88" s="144"/>
      <c r="M88" s="80"/>
      <c r="N88" s="81"/>
      <c r="O88" s="80"/>
      <c r="P88" s="81"/>
      <c r="Q88" s="80"/>
      <c r="R88" s="81"/>
    </row>
    <row r="89" spans="1:18" ht="24.75" customHeight="1" x14ac:dyDescent="0.3">
      <c r="B89" s="29"/>
      <c r="K89" s="2"/>
      <c r="L89" s="144"/>
      <c r="M89" s="73"/>
      <c r="N89" s="74"/>
      <c r="O89" s="73"/>
      <c r="P89" s="74"/>
      <c r="Q89" s="80"/>
      <c r="R89" s="81"/>
    </row>
    <row r="90" spans="1:18" s="38" customFormat="1" ht="24.75" customHeight="1" x14ac:dyDescent="0.3">
      <c r="A90" s="8"/>
      <c r="B90" s="12"/>
      <c r="C90" s="8"/>
      <c r="D90" s="12"/>
      <c r="E90" s="8"/>
      <c r="F90" s="8"/>
      <c r="G90" s="8"/>
      <c r="H90" s="8"/>
      <c r="I90" s="8"/>
      <c r="J90" s="8"/>
      <c r="K90" s="2"/>
      <c r="L90" s="144"/>
      <c r="M90" s="79">
        <v>1</v>
      </c>
      <c r="N90" s="72"/>
      <c r="O90" s="79" t="s">
        <v>137</v>
      </c>
      <c r="P90" s="72"/>
      <c r="Q90" s="80"/>
      <c r="R90" s="81"/>
    </row>
    <row r="91" spans="1:18" s="38" customFormat="1" ht="24.75" customHeight="1" thickBot="1" x14ac:dyDescent="0.35">
      <c r="A91" s="8"/>
      <c r="B91" s="12"/>
      <c r="C91" s="8"/>
      <c r="D91" s="12"/>
      <c r="E91" s="8"/>
      <c r="F91" s="8"/>
      <c r="G91" s="8"/>
      <c r="H91" s="8"/>
      <c r="I91" s="8"/>
      <c r="J91" s="8"/>
      <c r="K91" s="2"/>
      <c r="L91" s="144"/>
      <c r="M91" s="80"/>
      <c r="N91" s="81"/>
      <c r="O91" s="80"/>
      <c r="P91" s="81"/>
      <c r="Q91" s="80"/>
      <c r="R91" s="81"/>
    </row>
    <row r="92" spans="1:18" s="38" customFormat="1" ht="24.75" customHeight="1" x14ac:dyDescent="0.3">
      <c r="A92" s="8"/>
      <c r="B92" s="121" t="s">
        <v>118</v>
      </c>
      <c r="C92" s="77"/>
      <c r="D92" s="77"/>
      <c r="E92" s="77"/>
      <c r="F92" s="77"/>
      <c r="G92" s="77"/>
      <c r="H92" s="77"/>
      <c r="I92" s="77"/>
      <c r="J92" s="92"/>
      <c r="K92" s="2"/>
      <c r="L92" s="144"/>
      <c r="M92" s="73"/>
      <c r="N92" s="74"/>
      <c r="O92" s="73"/>
      <c r="P92" s="74"/>
      <c r="Q92" s="80"/>
      <c r="R92" s="81"/>
    </row>
    <row r="93" spans="1:18" s="38" customFormat="1" ht="24.75" customHeight="1" thickBot="1" x14ac:dyDescent="0.35">
      <c r="A93" s="8"/>
      <c r="B93" s="78"/>
      <c r="C93" s="67"/>
      <c r="D93" s="67"/>
      <c r="E93" s="67"/>
      <c r="F93" s="67"/>
      <c r="G93" s="67"/>
      <c r="H93" s="67"/>
      <c r="I93" s="67"/>
      <c r="J93" s="107"/>
      <c r="K93" s="2"/>
      <c r="L93" s="144"/>
      <c r="M93" s="79">
        <v>1.1000000000000001</v>
      </c>
      <c r="N93" s="72"/>
      <c r="O93" s="79" t="s">
        <v>138</v>
      </c>
      <c r="P93" s="72"/>
      <c r="Q93" s="80"/>
      <c r="R93" s="81"/>
    </row>
    <row r="94" spans="1:18" s="38" customFormat="1" ht="24.75" customHeight="1" thickBot="1" x14ac:dyDescent="0.35">
      <c r="A94" s="8"/>
      <c r="B94" s="89" t="s">
        <v>121</v>
      </c>
      <c r="C94" s="69"/>
      <c r="D94" s="70"/>
      <c r="E94" s="54" t="s">
        <v>139</v>
      </c>
      <c r="F94" s="85"/>
      <c r="G94" s="85"/>
      <c r="H94" s="55"/>
      <c r="I94" s="71">
        <f>C94*50%</f>
        <v>0</v>
      </c>
      <c r="J94" s="72"/>
      <c r="K94" s="13"/>
      <c r="L94" s="90"/>
      <c r="M94" s="73"/>
      <c r="N94" s="74"/>
      <c r="O94" s="73"/>
      <c r="P94" s="74"/>
      <c r="Q94" s="73"/>
      <c r="R94" s="74"/>
    </row>
    <row r="95" spans="1:18" s="38" customFormat="1" ht="24.75" customHeight="1" thickBot="1" x14ac:dyDescent="0.35">
      <c r="A95" s="8"/>
      <c r="B95" s="144"/>
      <c r="C95" s="63"/>
      <c r="D95" s="62"/>
      <c r="E95" s="56"/>
      <c r="F95" s="67"/>
      <c r="G95" s="67"/>
      <c r="H95" s="57"/>
      <c r="I95" s="73"/>
      <c r="J95" s="74"/>
      <c r="K95" s="13"/>
      <c r="L95" s="149" t="s">
        <v>140</v>
      </c>
      <c r="M95" s="84">
        <f>$O$71*$Q$82+I42</f>
        <v>0</v>
      </c>
      <c r="N95" s="77"/>
      <c r="O95" s="77"/>
      <c r="P95" s="77"/>
      <c r="Q95" s="77"/>
      <c r="R95" s="70"/>
    </row>
    <row r="96" spans="1:18" s="38" customFormat="1" ht="24.75" customHeight="1" thickBot="1" x14ac:dyDescent="0.35">
      <c r="A96" s="8"/>
      <c r="B96" s="144"/>
      <c r="C96" s="63"/>
      <c r="D96" s="62"/>
      <c r="E96" s="54" t="s">
        <v>122</v>
      </c>
      <c r="F96" s="85"/>
      <c r="G96" s="85"/>
      <c r="H96" s="55"/>
      <c r="I96" s="71">
        <f>C94*70%</f>
        <v>0</v>
      </c>
      <c r="J96" s="72"/>
      <c r="K96" s="13"/>
      <c r="L96" s="90"/>
      <c r="M96" s="56"/>
      <c r="N96" s="67"/>
      <c r="O96" s="67"/>
      <c r="P96" s="67"/>
      <c r="Q96" s="67"/>
      <c r="R96" s="57"/>
    </row>
    <row r="97" spans="1:20" s="38" customFormat="1" ht="24.75" customHeight="1" x14ac:dyDescent="0.3">
      <c r="A97" s="8"/>
      <c r="B97" s="90"/>
      <c r="C97" s="56"/>
      <c r="D97" s="57"/>
      <c r="E97" s="56"/>
      <c r="F97" s="67"/>
      <c r="G97" s="67"/>
      <c r="H97" s="57"/>
      <c r="I97" s="73"/>
      <c r="J97" s="74"/>
      <c r="K97" s="13"/>
      <c r="L97" s="39" t="s">
        <v>141</v>
      </c>
      <c r="M97" s="8"/>
      <c r="N97" s="8"/>
      <c r="O97" s="8"/>
      <c r="P97" s="8"/>
      <c r="Q97" s="8"/>
      <c r="R97" s="8"/>
    </row>
    <row r="98" spans="1:20" s="38" customFormat="1" ht="24.75" customHeight="1" x14ac:dyDescent="0.3">
      <c r="A98" s="8"/>
      <c r="B98" s="148" t="s">
        <v>129</v>
      </c>
      <c r="C98" s="79">
        <v>0</v>
      </c>
      <c r="D98" s="72"/>
      <c r="E98" s="79" t="s">
        <v>142</v>
      </c>
      <c r="F98" s="130"/>
      <c r="G98" s="130"/>
      <c r="H98" s="72"/>
      <c r="I98" s="119">
        <f>IF(M71&lt;I94,C98,IF(M71&lt;I96,C102,0))</f>
        <v>0</v>
      </c>
      <c r="J98" s="59"/>
      <c r="K98" s="13"/>
      <c r="L98" s="8"/>
      <c r="M98" s="8"/>
      <c r="N98" s="8"/>
      <c r="O98" s="8"/>
      <c r="P98" s="8"/>
      <c r="Q98" s="8"/>
      <c r="R98" s="8"/>
    </row>
    <row r="99" spans="1:20" s="38" customFormat="1" ht="24.75" customHeight="1" thickBot="1" x14ac:dyDescent="0.35">
      <c r="A99" s="8"/>
      <c r="B99" s="144"/>
      <c r="C99" s="80"/>
      <c r="D99" s="81"/>
      <c r="E99" s="80"/>
      <c r="F99" s="61"/>
      <c r="G99" s="61"/>
      <c r="H99" s="81"/>
      <c r="I99" s="63"/>
      <c r="J99" s="59"/>
      <c r="K99" s="13"/>
    </row>
    <row r="100" spans="1:20" s="38" customFormat="1" ht="24.75" customHeight="1" x14ac:dyDescent="0.3">
      <c r="A100" s="8"/>
      <c r="B100" s="144"/>
      <c r="C100" s="80"/>
      <c r="D100" s="81"/>
      <c r="E100" s="80"/>
      <c r="F100" s="61"/>
      <c r="G100" s="61"/>
      <c r="H100" s="81"/>
      <c r="I100" s="63"/>
      <c r="J100" s="59"/>
      <c r="K100" s="13"/>
      <c r="L100" s="121" t="s">
        <v>118</v>
      </c>
      <c r="M100" s="77"/>
      <c r="N100" s="77"/>
      <c r="O100" s="77"/>
      <c r="P100" s="77"/>
      <c r="Q100" s="77"/>
      <c r="R100" s="92"/>
    </row>
    <row r="101" spans="1:20" s="38" customFormat="1" ht="24.75" customHeight="1" thickBot="1" x14ac:dyDescent="0.35">
      <c r="A101" s="8"/>
      <c r="B101" s="144"/>
      <c r="C101" s="73"/>
      <c r="D101" s="74"/>
      <c r="E101" s="73"/>
      <c r="F101" s="131"/>
      <c r="G101" s="131"/>
      <c r="H101" s="74"/>
      <c r="I101" s="63"/>
      <c r="J101" s="59"/>
      <c r="K101" s="13"/>
      <c r="L101" s="78"/>
      <c r="M101" s="67"/>
      <c r="N101" s="67"/>
      <c r="O101" s="67"/>
      <c r="P101" s="67"/>
      <c r="Q101" s="67"/>
      <c r="R101" s="107"/>
    </row>
    <row r="102" spans="1:20" s="38" customFormat="1" ht="24.75" customHeight="1" x14ac:dyDescent="0.3">
      <c r="A102" s="8"/>
      <c r="B102" s="144"/>
      <c r="C102" s="136">
        <v>1000</v>
      </c>
      <c r="D102" s="62"/>
      <c r="E102" s="136" t="s">
        <v>143</v>
      </c>
      <c r="F102" s="61"/>
      <c r="G102" s="61"/>
      <c r="H102" s="62"/>
      <c r="I102" s="63"/>
      <c r="J102" s="59"/>
      <c r="K102" s="13"/>
      <c r="L102" s="89" t="s">
        <v>121</v>
      </c>
      <c r="M102" s="69"/>
      <c r="N102" s="70"/>
      <c r="O102" s="54" t="s">
        <v>139</v>
      </c>
      <c r="P102" s="55"/>
      <c r="Q102" s="71">
        <f>M102*50%</f>
        <v>0</v>
      </c>
      <c r="R102" s="72"/>
    </row>
    <row r="103" spans="1:20" s="38" customFormat="1" ht="24.75" customHeight="1" thickBot="1" x14ac:dyDescent="0.35">
      <c r="A103" s="8"/>
      <c r="B103" s="144"/>
      <c r="C103" s="63"/>
      <c r="D103" s="62"/>
      <c r="E103" s="63"/>
      <c r="F103" s="61"/>
      <c r="G103" s="61"/>
      <c r="H103" s="62"/>
      <c r="I103" s="63"/>
      <c r="J103" s="59"/>
      <c r="K103" s="13"/>
      <c r="L103" s="144"/>
      <c r="M103" s="63"/>
      <c r="N103" s="62"/>
      <c r="O103" s="56"/>
      <c r="P103" s="57"/>
      <c r="Q103" s="73"/>
      <c r="R103" s="74"/>
    </row>
    <row r="104" spans="1:20" s="38" customFormat="1" ht="24.75" customHeight="1" x14ac:dyDescent="0.3">
      <c r="A104" s="8"/>
      <c r="B104" s="144"/>
      <c r="C104" s="63"/>
      <c r="D104" s="62"/>
      <c r="E104" s="63"/>
      <c r="F104" s="61"/>
      <c r="G104" s="61"/>
      <c r="H104" s="62"/>
      <c r="I104" s="63"/>
      <c r="J104" s="59"/>
      <c r="K104" s="13"/>
      <c r="L104" s="144"/>
      <c r="M104" s="63"/>
      <c r="N104" s="62"/>
      <c r="O104" s="54" t="s">
        <v>122</v>
      </c>
      <c r="P104" s="55"/>
      <c r="Q104" s="71">
        <f>M102*70%</f>
        <v>0</v>
      </c>
      <c r="R104" s="72"/>
    </row>
    <row r="105" spans="1:20" s="38" customFormat="1" ht="24.75" customHeight="1" x14ac:dyDescent="0.3">
      <c r="A105" s="8"/>
      <c r="B105" s="144"/>
      <c r="C105" s="56"/>
      <c r="D105" s="57"/>
      <c r="E105" s="56"/>
      <c r="F105" s="67"/>
      <c r="G105" s="67"/>
      <c r="H105" s="57"/>
      <c r="I105" s="63"/>
      <c r="J105" s="59"/>
      <c r="K105" s="13"/>
      <c r="L105" s="90"/>
      <c r="M105" s="56"/>
      <c r="N105" s="57"/>
      <c r="O105" s="56"/>
      <c r="P105" s="57"/>
      <c r="Q105" s="73"/>
      <c r="R105" s="74"/>
    </row>
    <row r="106" spans="1:20" s="38" customFormat="1" ht="24.75" customHeight="1" x14ac:dyDescent="0.3">
      <c r="A106" s="8"/>
      <c r="B106" s="40"/>
      <c r="C106" s="60"/>
      <c r="D106" s="62"/>
      <c r="E106" s="60" t="s">
        <v>144</v>
      </c>
      <c r="F106" s="61"/>
      <c r="G106" s="61"/>
      <c r="H106" s="62"/>
      <c r="I106" s="63"/>
      <c r="J106" s="59"/>
      <c r="K106" s="13"/>
      <c r="L106" s="148" t="s">
        <v>129</v>
      </c>
      <c r="M106" s="79">
        <v>0</v>
      </c>
      <c r="N106" s="72"/>
      <c r="O106" s="79" t="s">
        <v>142</v>
      </c>
      <c r="P106" s="72"/>
      <c r="Q106" s="119">
        <f>IF(M71&lt;Q102,M106,IF(M71&lt;Q104,M110,0))</f>
        <v>0</v>
      </c>
      <c r="R106" s="59"/>
    </row>
    <row r="107" spans="1:20" s="38" customFormat="1" ht="24.75" customHeight="1" thickBot="1" x14ac:dyDescent="0.35">
      <c r="A107" s="8"/>
      <c r="B107" s="40"/>
      <c r="C107" s="63"/>
      <c r="D107" s="62"/>
      <c r="E107" s="63"/>
      <c r="F107" s="61"/>
      <c r="G107" s="61"/>
      <c r="H107" s="62"/>
      <c r="I107" s="63"/>
      <c r="J107" s="59"/>
      <c r="K107" s="13"/>
      <c r="L107" s="144"/>
      <c r="M107" s="80"/>
      <c r="N107" s="81"/>
      <c r="O107" s="80"/>
      <c r="P107" s="81"/>
      <c r="Q107" s="63"/>
      <c r="R107" s="59"/>
    </row>
    <row r="108" spans="1:20" s="38" customFormat="1" ht="24.75" customHeight="1" x14ac:dyDescent="0.3">
      <c r="A108" s="8"/>
      <c r="B108" s="127" t="s">
        <v>140</v>
      </c>
      <c r="C108" s="91">
        <f>I98*C106+M95</f>
        <v>0</v>
      </c>
      <c r="D108" s="77"/>
      <c r="E108" s="77"/>
      <c r="F108" s="77"/>
      <c r="G108" s="77"/>
      <c r="H108" s="77"/>
      <c r="I108" s="77"/>
      <c r="J108" s="92"/>
      <c r="K108" s="13"/>
      <c r="L108" s="144"/>
      <c r="M108" s="80"/>
      <c r="N108" s="81"/>
      <c r="O108" s="80"/>
      <c r="P108" s="81"/>
      <c r="Q108" s="63"/>
      <c r="R108" s="59"/>
    </row>
    <row r="109" spans="1:20" s="38" customFormat="1" ht="24.75" customHeight="1" thickBot="1" x14ac:dyDescent="0.35">
      <c r="A109" s="8"/>
      <c r="B109" s="128"/>
      <c r="C109" s="93"/>
      <c r="D109" s="94"/>
      <c r="E109" s="94"/>
      <c r="F109" s="94"/>
      <c r="G109" s="94"/>
      <c r="H109" s="94"/>
      <c r="I109" s="94"/>
      <c r="J109" s="95"/>
      <c r="K109" s="13"/>
      <c r="L109" s="144"/>
      <c r="M109" s="73"/>
      <c r="N109" s="74"/>
      <c r="O109" s="73"/>
      <c r="P109" s="74"/>
      <c r="Q109" s="63"/>
      <c r="R109" s="59"/>
    </row>
    <row r="110" spans="1:20" s="38" customFormat="1" ht="24.75" customHeight="1" x14ac:dyDescent="0.3">
      <c r="B110" s="39" t="s">
        <v>145</v>
      </c>
      <c r="C110" s="8"/>
      <c r="D110" s="8"/>
      <c r="E110" s="8"/>
      <c r="F110" s="8"/>
      <c r="G110" s="8"/>
      <c r="H110" s="8"/>
      <c r="I110" s="8"/>
      <c r="J110" s="8"/>
      <c r="L110" s="144"/>
      <c r="M110" s="60">
        <v>500</v>
      </c>
      <c r="N110" s="62"/>
      <c r="O110" s="60" t="s">
        <v>143</v>
      </c>
      <c r="P110" s="62"/>
      <c r="Q110" s="63"/>
      <c r="R110" s="59"/>
    </row>
    <row r="111" spans="1:20" ht="24.75" customHeight="1" x14ac:dyDescent="0.3">
      <c r="B111" s="8"/>
      <c r="C111" s="12"/>
      <c r="E111" s="12"/>
      <c r="F111" s="12"/>
      <c r="I111" s="12"/>
      <c r="J111" s="12"/>
      <c r="K111" s="12"/>
      <c r="L111" s="144"/>
      <c r="M111" s="63"/>
      <c r="N111" s="62"/>
      <c r="O111" s="63"/>
      <c r="P111" s="62"/>
      <c r="Q111" s="63"/>
      <c r="R111" s="59"/>
      <c r="T111" s="1"/>
    </row>
    <row r="112" spans="1:20" ht="24.75" customHeight="1" x14ac:dyDescent="0.3">
      <c r="B112" s="8"/>
      <c r="C112" s="38"/>
      <c r="D112" s="38"/>
      <c r="E112" s="38"/>
      <c r="F112" s="38"/>
      <c r="G112" s="38"/>
      <c r="H112" s="38"/>
      <c r="I112" s="38"/>
      <c r="J112" s="38"/>
      <c r="K112" s="12"/>
      <c r="L112" s="144"/>
      <c r="M112" s="63"/>
      <c r="N112" s="62"/>
      <c r="O112" s="63"/>
      <c r="P112" s="62"/>
      <c r="Q112" s="63"/>
      <c r="R112" s="59"/>
      <c r="T112" s="1"/>
    </row>
    <row r="113" spans="2:20" ht="24.75" customHeight="1" thickBot="1" x14ac:dyDescent="0.35">
      <c r="F113" s="38"/>
      <c r="G113" s="38"/>
      <c r="H113" s="38"/>
      <c r="I113" s="38"/>
      <c r="J113" s="38"/>
      <c r="K113" s="12"/>
      <c r="L113" s="144"/>
      <c r="M113" s="63"/>
      <c r="N113" s="62"/>
      <c r="O113" s="63"/>
      <c r="P113" s="62"/>
      <c r="Q113" s="63"/>
      <c r="R113" s="59"/>
      <c r="T113" s="1"/>
    </row>
    <row r="114" spans="2:20" ht="24.75" customHeight="1" x14ac:dyDescent="0.3">
      <c r="D114" s="8"/>
      <c r="F114" s="38"/>
      <c r="G114" s="38"/>
      <c r="H114" s="38"/>
      <c r="I114" s="38"/>
      <c r="J114" s="38"/>
      <c r="K114" s="12"/>
      <c r="L114" s="127" t="s">
        <v>140</v>
      </c>
      <c r="M114" s="91">
        <f>Q106+M95</f>
        <v>0</v>
      </c>
      <c r="N114" s="77"/>
      <c r="O114" s="77"/>
      <c r="P114" s="77"/>
      <c r="Q114" s="77"/>
      <c r="R114" s="92"/>
      <c r="T114" s="1"/>
    </row>
    <row r="115" spans="2:20" ht="24.75" customHeight="1" thickBot="1" x14ac:dyDescent="0.35">
      <c r="C115" s="108"/>
      <c r="D115" s="109"/>
      <c r="E115" s="110"/>
      <c r="K115" s="12"/>
      <c r="L115" s="128"/>
      <c r="M115" s="93"/>
      <c r="N115" s="94"/>
      <c r="O115" s="94"/>
      <c r="P115" s="94"/>
      <c r="Q115" s="94"/>
      <c r="R115" s="95"/>
      <c r="T115" s="1"/>
    </row>
    <row r="116" spans="2:20" ht="24.75" customHeight="1" x14ac:dyDescent="0.3">
      <c r="K116" s="12"/>
      <c r="L116" s="39" t="s">
        <v>146</v>
      </c>
      <c r="T116" s="1"/>
    </row>
    <row r="117" spans="2:20" ht="24.75" customHeight="1" x14ac:dyDescent="0.3">
      <c r="F117" s="41"/>
      <c r="K117" s="12"/>
      <c r="L117" s="39" t="s">
        <v>147</v>
      </c>
      <c r="T117" s="1"/>
    </row>
    <row r="118" spans="2:20" ht="24.75" customHeight="1" x14ac:dyDescent="0.3">
      <c r="K118" s="12"/>
      <c r="T118" s="1"/>
    </row>
    <row r="119" spans="2:20" ht="24.75" customHeight="1" x14ac:dyDescent="0.3">
      <c r="B119" s="8" t="s">
        <v>148</v>
      </c>
      <c r="C119" s="38"/>
      <c r="D119" s="38"/>
      <c r="E119" s="38"/>
      <c r="F119" s="38"/>
      <c r="G119" s="38"/>
      <c r="H119" s="38"/>
      <c r="I119" s="38"/>
      <c r="J119" s="38"/>
      <c r="K119" s="12"/>
      <c r="M119" s="12" t="s">
        <v>149</v>
      </c>
      <c r="O119" s="12"/>
      <c r="T119" s="1"/>
    </row>
    <row r="120" spans="2:20" ht="24.75" customHeight="1" x14ac:dyDescent="0.3">
      <c r="F120" s="38"/>
      <c r="G120" s="38"/>
      <c r="H120" s="38"/>
      <c r="I120" s="38"/>
      <c r="J120" s="38"/>
      <c r="K120" s="12"/>
      <c r="O120" s="12"/>
      <c r="T120" s="1"/>
    </row>
    <row r="121" spans="2:20" ht="24.75" customHeight="1" x14ac:dyDescent="0.3">
      <c r="C121" s="8" t="s">
        <v>150</v>
      </c>
      <c r="D121" s="8"/>
      <c r="F121" s="38"/>
      <c r="H121" s="12" t="s">
        <v>151</v>
      </c>
      <c r="I121" s="38"/>
      <c r="J121" s="38"/>
      <c r="K121" s="12"/>
      <c r="M121" s="12"/>
      <c r="O121" s="12" t="s">
        <v>152</v>
      </c>
      <c r="T121" s="1"/>
    </row>
    <row r="122" spans="2:20" ht="24.75" customHeight="1" x14ac:dyDescent="0.3">
      <c r="C122" s="108" t="s">
        <v>153</v>
      </c>
      <c r="D122" s="109"/>
      <c r="E122" s="110"/>
      <c r="H122" s="12" t="s">
        <v>154</v>
      </c>
      <c r="K122" s="12"/>
      <c r="M122" s="12"/>
      <c r="O122" s="12" t="s">
        <v>155</v>
      </c>
      <c r="T122" s="1"/>
    </row>
    <row r="123" spans="2:20" ht="24.75" customHeight="1" x14ac:dyDescent="0.3">
      <c r="B123" s="8"/>
      <c r="K123" s="12"/>
      <c r="T123" s="1"/>
    </row>
    <row r="124" spans="2:20" ht="24.75" customHeight="1" x14ac:dyDescent="0.3">
      <c r="K124" s="12"/>
      <c r="T124" s="1"/>
    </row>
    <row r="125" spans="2:20" ht="24.75" customHeight="1" x14ac:dyDescent="0.3">
      <c r="K125" s="12"/>
      <c r="T125" s="1"/>
    </row>
    <row r="126" spans="2:20" ht="24.75" customHeight="1" x14ac:dyDescent="0.3">
      <c r="K126" s="12"/>
      <c r="T126" s="1"/>
    </row>
    <row r="127" spans="2:20" ht="24.75" customHeight="1" x14ac:dyDescent="0.3">
      <c r="B127" s="8"/>
      <c r="C127" s="12"/>
      <c r="E127" s="12"/>
      <c r="F127" s="12"/>
      <c r="I127" s="12"/>
      <c r="J127" s="12"/>
      <c r="K127" s="12"/>
      <c r="T127" s="1"/>
    </row>
    <row r="128" spans="2:20" ht="24.75" customHeight="1" x14ac:dyDescent="0.3">
      <c r="B128" s="8"/>
      <c r="C128" s="12"/>
      <c r="E128" s="12"/>
      <c r="F128" s="12"/>
      <c r="I128" s="12"/>
      <c r="J128" s="12"/>
      <c r="K128" s="12"/>
      <c r="L128" s="12"/>
      <c r="M128" s="12"/>
      <c r="N128" s="12"/>
      <c r="O128" s="12"/>
      <c r="P128" s="12"/>
      <c r="Q128" s="12"/>
      <c r="R128" s="12"/>
      <c r="T128" s="1"/>
    </row>
    <row r="129" spans="2:20" ht="24.75" customHeight="1" x14ac:dyDescent="0.3">
      <c r="M129" s="12"/>
      <c r="N129" s="12"/>
      <c r="O129" s="12"/>
      <c r="P129" s="12"/>
      <c r="Q129" s="12"/>
      <c r="R129" s="12"/>
      <c r="T129" s="1"/>
    </row>
    <row r="130" spans="2:20" ht="24.75" customHeight="1" x14ac:dyDescent="0.3">
      <c r="J130" s="12"/>
      <c r="K130" s="12"/>
      <c r="L130" s="12"/>
      <c r="M130" s="12"/>
      <c r="T130" s="1"/>
    </row>
    <row r="131" spans="2:20" ht="24.75" customHeight="1" x14ac:dyDescent="0.3">
      <c r="B131" s="8"/>
      <c r="G131" s="42"/>
      <c r="H131" s="42"/>
      <c r="J131" s="12"/>
      <c r="K131" s="12"/>
      <c r="L131" s="12"/>
      <c r="M131" s="12"/>
      <c r="T131" s="1"/>
    </row>
    <row r="132" spans="2:20" ht="24.75" customHeight="1" x14ac:dyDescent="0.3">
      <c r="B132" s="8"/>
      <c r="D132" s="8"/>
      <c r="K132" s="12"/>
      <c r="L132" s="12"/>
      <c r="M132" s="12"/>
      <c r="T132" s="1"/>
    </row>
    <row r="133" spans="2:20" ht="24.75" customHeight="1" x14ac:dyDescent="0.3">
      <c r="B133" s="8"/>
      <c r="D133" s="8"/>
      <c r="J133" s="43"/>
      <c r="K133" s="12"/>
      <c r="T133" s="1"/>
    </row>
    <row r="134" spans="2:20" ht="24.75" customHeight="1" x14ac:dyDescent="0.3">
      <c r="B134" s="8"/>
      <c r="D134" s="8"/>
      <c r="J134" s="43"/>
      <c r="K134" s="12"/>
      <c r="T134" s="44"/>
    </row>
    <row r="135" spans="2:20" ht="24.75" customHeight="1" x14ac:dyDescent="0.3">
      <c r="B135" s="8"/>
      <c r="D135" s="8"/>
      <c r="J135" s="1"/>
      <c r="L135" s="43"/>
      <c r="T135" s="44"/>
    </row>
    <row r="136" spans="2:20" ht="24.75" customHeight="1" x14ac:dyDescent="0.3">
      <c r="B136" s="8"/>
      <c r="D136" s="8"/>
      <c r="J136" s="1"/>
      <c r="L136" s="43"/>
      <c r="T136" s="44"/>
    </row>
    <row r="137" spans="2:20" ht="24.75" customHeight="1" x14ac:dyDescent="0.3">
      <c r="B137" s="8"/>
      <c r="D137" s="8"/>
      <c r="J137" s="1"/>
      <c r="K137" s="43"/>
      <c r="L137" s="1"/>
      <c r="T137" s="44"/>
    </row>
    <row r="138" spans="2:20" ht="21" customHeight="1" x14ac:dyDescent="0.3">
      <c r="B138" s="8"/>
      <c r="D138" s="8"/>
      <c r="J138" s="1"/>
      <c r="K138" s="43"/>
      <c r="L138" s="1"/>
      <c r="T138" s="44"/>
    </row>
    <row r="139" spans="2:20" ht="21" customHeight="1" x14ac:dyDescent="0.3">
      <c r="B139" s="8"/>
      <c r="D139" s="8"/>
      <c r="J139" s="1"/>
      <c r="K139" s="1"/>
      <c r="L139" s="1"/>
    </row>
    <row r="140" spans="2:20" ht="21" customHeight="1" x14ac:dyDescent="0.3">
      <c r="B140" s="8"/>
      <c r="D140" s="8"/>
      <c r="J140" s="1"/>
      <c r="K140" s="1"/>
      <c r="L140" s="1"/>
    </row>
    <row r="141" spans="2:20" ht="21" customHeight="1" x14ac:dyDescent="0.3">
      <c r="B141" s="8"/>
      <c r="D141" s="8"/>
      <c r="J141" s="1"/>
      <c r="K141" s="1"/>
      <c r="L141" s="1"/>
    </row>
    <row r="142" spans="2:20" ht="21" customHeight="1" x14ac:dyDescent="0.3">
      <c r="B142" s="8"/>
      <c r="D142" s="8"/>
      <c r="J142" s="1"/>
      <c r="K142" s="1"/>
      <c r="L142" s="1"/>
    </row>
    <row r="143" spans="2:20" ht="21" customHeight="1" x14ac:dyDescent="0.3">
      <c r="B143" s="8"/>
      <c r="D143" s="8"/>
      <c r="J143" s="1"/>
      <c r="K143" s="1"/>
      <c r="L143" s="1"/>
    </row>
    <row r="144" spans="2:20" ht="21" customHeight="1" x14ac:dyDescent="0.3">
      <c r="B144" s="8"/>
      <c r="D144" s="8"/>
      <c r="J144" s="1"/>
      <c r="K144" s="1"/>
      <c r="L144" s="1"/>
      <c r="T144" s="45"/>
    </row>
    <row r="145" spans="2:20" ht="25.8" customHeight="1" x14ac:dyDescent="0.3">
      <c r="B145" s="8"/>
      <c r="D145" s="8"/>
      <c r="J145" s="46"/>
      <c r="K145" s="1"/>
      <c r="L145" s="1"/>
      <c r="T145" s="45"/>
    </row>
    <row r="146" spans="2:20" ht="17.399999999999999" customHeight="1" x14ac:dyDescent="0.3">
      <c r="K146" s="1"/>
      <c r="L146" s="1"/>
    </row>
    <row r="147" spans="2:20" ht="20.399999999999999" customHeight="1" x14ac:dyDescent="0.3">
      <c r="K147" s="1"/>
      <c r="L147" s="46"/>
    </row>
    <row r="148" spans="2:20" ht="17.399999999999999" customHeight="1" x14ac:dyDescent="0.3">
      <c r="K148" s="1"/>
    </row>
    <row r="149" spans="2:20" ht="24.75" customHeight="1" x14ac:dyDescent="0.3">
      <c r="K149" s="46"/>
    </row>
    <row r="150" spans="2:20" ht="24.75" customHeight="1" x14ac:dyDescent="0.3">
      <c r="B150" s="8"/>
      <c r="D150" s="8"/>
    </row>
    <row r="151" spans="2:20" ht="24.75" customHeight="1" x14ac:dyDescent="0.3"/>
    <row r="152" spans="2:20" ht="24.75" customHeight="1" x14ac:dyDescent="0.3"/>
    <row r="153" spans="2:20" ht="24.75" customHeight="1" x14ac:dyDescent="0.3"/>
    <row r="154" spans="2:20" ht="24.75" customHeight="1" x14ac:dyDescent="0.3"/>
    <row r="155" spans="2:20" ht="24.75" customHeight="1" x14ac:dyDescent="0.3"/>
    <row r="156" spans="2:20" ht="24.75" customHeight="1" x14ac:dyDescent="0.3"/>
    <row r="157" spans="2:20" ht="24.75" customHeight="1" x14ac:dyDescent="0.3"/>
    <row r="158" spans="2:20" ht="23.25" customHeight="1" x14ac:dyDescent="0.3"/>
    <row r="159" spans="2:20" ht="23.25" customHeight="1" x14ac:dyDescent="0.3"/>
    <row r="160" spans="2:20" ht="23.25" customHeight="1" x14ac:dyDescent="0.3"/>
    <row r="161" spans="10:10" ht="23.25" customHeight="1" x14ac:dyDescent="0.3"/>
    <row r="162" spans="10:10" ht="24.75" customHeight="1" x14ac:dyDescent="0.3">
      <c r="J162" s="12"/>
    </row>
    <row r="163" spans="10:10" ht="24.75" customHeight="1" x14ac:dyDescent="0.3"/>
    <row r="164" spans="10:10" ht="24.75" customHeight="1" x14ac:dyDescent="0.3"/>
    <row r="165" spans="10:10" ht="24.75" customHeight="1" x14ac:dyDescent="0.3"/>
    <row r="166" spans="10:10" ht="21" customHeight="1" x14ac:dyDescent="0.3"/>
    <row r="167" spans="10:10" ht="22.95" customHeight="1" x14ac:dyDescent="0.3"/>
    <row r="168" spans="10:10" ht="22.95" customHeight="1" x14ac:dyDescent="0.3"/>
    <row r="169" spans="10:10" ht="22.95" customHeight="1" x14ac:dyDescent="0.3"/>
    <row r="170" spans="10:10" ht="22.95" customHeight="1" x14ac:dyDescent="0.3"/>
    <row r="171" spans="10:10" ht="22.95" customHeight="1" x14ac:dyDescent="0.3"/>
    <row r="172" spans="10:10" ht="22.95" customHeight="1" x14ac:dyDescent="0.3"/>
    <row r="173" spans="10:10" ht="39" customHeight="1" x14ac:dyDescent="0.3"/>
    <row r="204" spans="5:9" ht="17.399999999999999" customHeight="1" x14ac:dyDescent="0.3">
      <c r="E204" s="2"/>
      <c r="F204" s="2"/>
      <c r="G204" s="2"/>
      <c r="H204" s="2"/>
      <c r="I204" s="2"/>
    </row>
    <row r="214" spans="11:21" ht="87" customHeight="1" x14ac:dyDescent="0.3">
      <c r="P214" s="42" t="s">
        <v>148</v>
      </c>
      <c r="Q214" s="41" t="s">
        <v>152</v>
      </c>
      <c r="R214" s="41"/>
    </row>
    <row r="215" spans="11:21" ht="17.399999999999999" customHeight="1" x14ac:dyDescent="0.3">
      <c r="Q215" s="2" t="s">
        <v>153</v>
      </c>
      <c r="R215" s="2"/>
    </row>
    <row r="216" spans="11:21" x14ac:dyDescent="0.3">
      <c r="S216" s="41"/>
      <c r="T216" s="41"/>
      <c r="U216" s="42"/>
    </row>
    <row r="217" spans="11:21" ht="17.399999999999999" customHeight="1" x14ac:dyDescent="0.3">
      <c r="P217" s="47"/>
      <c r="S217" s="2"/>
      <c r="T217" s="2"/>
      <c r="U217" s="1"/>
    </row>
    <row r="218" spans="11:21" x14ac:dyDescent="0.3">
      <c r="P218" s="8" t="s">
        <v>156</v>
      </c>
      <c r="Q218" s="12" t="s">
        <v>157</v>
      </c>
      <c r="R218" s="12"/>
    </row>
    <row r="219" spans="11:21" ht="52.2" customHeight="1" x14ac:dyDescent="0.3">
      <c r="P219" s="38"/>
      <c r="Q219" s="13" t="s">
        <v>154</v>
      </c>
      <c r="R219" s="13"/>
    </row>
    <row r="220" spans="11:21" x14ac:dyDescent="0.3">
      <c r="S220" s="12"/>
      <c r="T220" s="12"/>
    </row>
    <row r="221" spans="11:21" ht="17.399999999999999" customHeight="1" x14ac:dyDescent="0.3">
      <c r="S221" s="13"/>
      <c r="T221" s="13"/>
      <c r="U221" s="13"/>
    </row>
    <row r="222" spans="11:21" x14ac:dyDescent="0.3">
      <c r="L222" s="38"/>
      <c r="M222" s="38"/>
      <c r="N222" s="38"/>
      <c r="O222" s="38"/>
    </row>
    <row r="223" spans="11:21" ht="104.4" customHeight="1" x14ac:dyDescent="0.3">
      <c r="P223" s="8" t="s">
        <v>158</v>
      </c>
      <c r="Q223" s="41" t="s">
        <v>157</v>
      </c>
      <c r="R223" s="41"/>
    </row>
    <row r="224" spans="11:21" ht="17.399999999999999" customHeight="1" x14ac:dyDescent="0.3">
      <c r="K224" s="38"/>
      <c r="P224" s="13"/>
      <c r="Q224" s="2" t="s">
        <v>155</v>
      </c>
      <c r="R224" s="2"/>
    </row>
    <row r="225" spans="19:21" x14ac:dyDescent="0.3">
      <c r="S225" s="41"/>
      <c r="T225" s="41"/>
      <c r="U225" s="42"/>
    </row>
    <row r="226" spans="19:21" ht="17.399999999999999" customHeight="1" x14ac:dyDescent="0.3">
      <c r="S226" s="2"/>
      <c r="T226" s="2"/>
      <c r="U226" s="1"/>
    </row>
  </sheetData>
  <mergeCells count="233">
    <mergeCell ref="Q23:R23"/>
    <mergeCell ref="Q31:R31"/>
    <mergeCell ref="Q15:R15"/>
    <mergeCell ref="Q37:R38"/>
    <mergeCell ref="O93:P94"/>
    <mergeCell ref="F29:G29"/>
    <mergeCell ref="L40:R40"/>
    <mergeCell ref="C29:C30"/>
    <mergeCell ref="B92:J93"/>
    <mergeCell ref="E47:G48"/>
    <mergeCell ref="Q78:R79"/>
    <mergeCell ref="B42:B43"/>
    <mergeCell ref="Q69:R70"/>
    <mergeCell ref="B27:B28"/>
    <mergeCell ref="F40:F41"/>
    <mergeCell ref="D27:D28"/>
    <mergeCell ref="E60:G60"/>
    <mergeCell ref="E84:G84"/>
    <mergeCell ref="Q61:R62"/>
    <mergeCell ref="Q29:R29"/>
    <mergeCell ref="B45:B46"/>
    <mergeCell ref="G27:G28"/>
    <mergeCell ref="Q82:R94"/>
    <mergeCell ref="E79:G79"/>
    <mergeCell ref="B108:B109"/>
    <mergeCell ref="M82:N83"/>
    <mergeCell ref="C98:D101"/>
    <mergeCell ref="B29:B30"/>
    <mergeCell ref="O104:P105"/>
    <mergeCell ref="Q80:R81"/>
    <mergeCell ref="E94:H95"/>
    <mergeCell ref="F42:F43"/>
    <mergeCell ref="B64:B65"/>
    <mergeCell ref="B40:B41"/>
    <mergeCell ref="D40:D41"/>
    <mergeCell ref="C106:D107"/>
    <mergeCell ref="E57:G57"/>
    <mergeCell ref="D47:D48"/>
    <mergeCell ref="I68:I69"/>
    <mergeCell ref="D87:D88"/>
    <mergeCell ref="L106:L113"/>
    <mergeCell ref="M63:N64"/>
    <mergeCell ref="Q104:R105"/>
    <mergeCell ref="Q35:R35"/>
    <mergeCell ref="M93:N94"/>
    <mergeCell ref="E81:G81"/>
    <mergeCell ref="O84:P86"/>
    <mergeCell ref="H47:H48"/>
    <mergeCell ref="B11:B12"/>
    <mergeCell ref="E78:G78"/>
    <mergeCell ref="D11:D12"/>
    <mergeCell ref="I87:I88"/>
    <mergeCell ref="E59:G59"/>
    <mergeCell ref="I94:J95"/>
    <mergeCell ref="B98:B105"/>
    <mergeCell ref="B47:B48"/>
    <mergeCell ref="L102:L105"/>
    <mergeCell ref="L63:L64"/>
    <mergeCell ref="E85:G85"/>
    <mergeCell ref="C102:D105"/>
    <mergeCell ref="I40:I41"/>
    <mergeCell ref="E56:G56"/>
    <mergeCell ref="L50:R51"/>
    <mergeCell ref="Q30:R30"/>
    <mergeCell ref="Q17:R17"/>
    <mergeCell ref="M69:N70"/>
    <mergeCell ref="L80:L81"/>
    <mergeCell ref="L95:L96"/>
    <mergeCell ref="E83:G83"/>
    <mergeCell ref="O69:P70"/>
    <mergeCell ref="Q67:R68"/>
    <mergeCell ref="L82:L94"/>
    <mergeCell ref="B94:B97"/>
    <mergeCell ref="L71:L72"/>
    <mergeCell ref="C42:C43"/>
    <mergeCell ref="E42:E43"/>
    <mergeCell ref="B9:C10"/>
    <mergeCell ref="P11:P12"/>
    <mergeCell ref="E77:G77"/>
    <mergeCell ref="O61:P62"/>
    <mergeCell ref="E86:G86"/>
    <mergeCell ref="E80:G80"/>
    <mergeCell ref="C47:C48"/>
    <mergeCell ref="E61:G61"/>
    <mergeCell ref="E27:E28"/>
    <mergeCell ref="I11:I12"/>
    <mergeCell ref="C11:C12"/>
    <mergeCell ref="H11:H12"/>
    <mergeCell ref="O71:P72"/>
    <mergeCell ref="E70:G70"/>
    <mergeCell ref="C40:C41"/>
    <mergeCell ref="E64:G65"/>
    <mergeCell ref="M37:M38"/>
    <mergeCell ref="M71:N72"/>
    <mergeCell ref="E40:E41"/>
    <mergeCell ref="E54:G54"/>
    <mergeCell ref="Q28:R28"/>
    <mergeCell ref="F27:F28"/>
    <mergeCell ref="B87:B88"/>
    <mergeCell ref="C27:C28"/>
    <mergeCell ref="E87:G88"/>
    <mergeCell ref="D64:D65"/>
    <mergeCell ref="E58:G58"/>
    <mergeCell ref="I29:I30"/>
    <mergeCell ref="M67:N68"/>
    <mergeCell ref="C68:C69"/>
    <mergeCell ref="O63:P64"/>
    <mergeCell ref="E73:G73"/>
    <mergeCell ref="Q63:R64"/>
    <mergeCell ref="E82:G82"/>
    <mergeCell ref="E63:G63"/>
    <mergeCell ref="H29:H30"/>
    <mergeCell ref="B66:C67"/>
    <mergeCell ref="L67:L68"/>
    <mergeCell ref="E72:G72"/>
    <mergeCell ref="G42:G43"/>
    <mergeCell ref="Q16:R16"/>
    <mergeCell ref="F11:G11"/>
    <mergeCell ref="Q24:R24"/>
    <mergeCell ref="H64:H65"/>
    <mergeCell ref="Q18:R18"/>
    <mergeCell ref="Q33:R33"/>
    <mergeCell ref="L37:L38"/>
    <mergeCell ref="N37:N38"/>
    <mergeCell ref="E49:G49"/>
    <mergeCell ref="Q11:R12"/>
    <mergeCell ref="Q19:R19"/>
    <mergeCell ref="E11:E12"/>
    <mergeCell ref="Q34:R34"/>
    <mergeCell ref="G40:G41"/>
    <mergeCell ref="Q27:R27"/>
    <mergeCell ref="Q65:R66"/>
    <mergeCell ref="Q26:R26"/>
    <mergeCell ref="L56:R57"/>
    <mergeCell ref="P37:P38"/>
    <mergeCell ref="Q22:R22"/>
    <mergeCell ref="Q13:R13"/>
    <mergeCell ref="M65:N66"/>
    <mergeCell ref="Q21:R21"/>
    <mergeCell ref="O65:P66"/>
    <mergeCell ref="C115:E115"/>
    <mergeCell ref="L58:R59"/>
    <mergeCell ref="L114:L115"/>
    <mergeCell ref="I47:I48"/>
    <mergeCell ref="E98:H101"/>
    <mergeCell ref="Q20:R20"/>
    <mergeCell ref="O67:P68"/>
    <mergeCell ref="M114:R115"/>
    <mergeCell ref="L42:R43"/>
    <mergeCell ref="M110:N113"/>
    <mergeCell ref="L46:R47"/>
    <mergeCell ref="Q32:R32"/>
    <mergeCell ref="C64:C65"/>
    <mergeCell ref="I27:I28"/>
    <mergeCell ref="E51:G51"/>
    <mergeCell ref="M87:N89"/>
    <mergeCell ref="C94:D97"/>
    <mergeCell ref="L48:R49"/>
    <mergeCell ref="L41:R41"/>
    <mergeCell ref="Q25:R25"/>
    <mergeCell ref="O90:P92"/>
    <mergeCell ref="L78:L79"/>
    <mergeCell ref="E102:H105"/>
    <mergeCell ref="I96:J97"/>
    <mergeCell ref="C122:E122"/>
    <mergeCell ref="O110:P113"/>
    <mergeCell ref="M75:N75"/>
    <mergeCell ref="B68:B69"/>
    <mergeCell ref="O82:P83"/>
    <mergeCell ref="D68:D69"/>
    <mergeCell ref="L44:R45"/>
    <mergeCell ref="O78:P79"/>
    <mergeCell ref="L9:L10"/>
    <mergeCell ref="L69:L70"/>
    <mergeCell ref="I98:J107"/>
    <mergeCell ref="L53:R55"/>
    <mergeCell ref="O11:O12"/>
    <mergeCell ref="L100:R101"/>
    <mergeCell ref="D42:D43"/>
    <mergeCell ref="Q71:R72"/>
    <mergeCell ref="I42:I43"/>
    <mergeCell ref="L11:L12"/>
    <mergeCell ref="D29:D30"/>
    <mergeCell ref="N11:N12"/>
    <mergeCell ref="E62:G62"/>
    <mergeCell ref="L61:L62"/>
    <mergeCell ref="H42:H43"/>
    <mergeCell ref="Q106:R113"/>
    <mergeCell ref="C2:D2"/>
    <mergeCell ref="H27:H28"/>
    <mergeCell ref="E75:G75"/>
    <mergeCell ref="L65:L66"/>
    <mergeCell ref="E53:G53"/>
    <mergeCell ref="C108:J109"/>
    <mergeCell ref="I64:I65"/>
    <mergeCell ref="M84:N86"/>
    <mergeCell ref="E50:G50"/>
    <mergeCell ref="C3:D3"/>
    <mergeCell ref="C4:D4"/>
    <mergeCell ref="C5:D5"/>
    <mergeCell ref="C6:D6"/>
    <mergeCell ref="C7:D7"/>
    <mergeCell ref="C8:D8"/>
    <mergeCell ref="M11:M12"/>
    <mergeCell ref="E29:E30"/>
    <mergeCell ref="E74:G74"/>
    <mergeCell ref="L52:R52"/>
    <mergeCell ref="O80:P81"/>
    <mergeCell ref="M61:N62"/>
    <mergeCell ref="E68:G69"/>
    <mergeCell ref="H40:H41"/>
    <mergeCell ref="Q14:R14"/>
    <mergeCell ref="O102:P103"/>
    <mergeCell ref="Q36:R36"/>
    <mergeCell ref="E106:H107"/>
    <mergeCell ref="H87:H88"/>
    <mergeCell ref="E55:G55"/>
    <mergeCell ref="E52:G52"/>
    <mergeCell ref="M78:N79"/>
    <mergeCell ref="M102:N105"/>
    <mergeCell ref="Q102:R103"/>
    <mergeCell ref="O37:O38"/>
    <mergeCell ref="M80:N81"/>
    <mergeCell ref="E76:G76"/>
    <mergeCell ref="L76:R77"/>
    <mergeCell ref="O106:P109"/>
    <mergeCell ref="M90:N92"/>
    <mergeCell ref="M106:N109"/>
    <mergeCell ref="H68:H69"/>
    <mergeCell ref="O87:P89"/>
    <mergeCell ref="E71:G71"/>
    <mergeCell ref="M95:R96"/>
    <mergeCell ref="E96:H97"/>
  </mergeCells>
  <pageMargins left="0.16875000000000001" right="0.16875000000000001" top="0.37777777777777799" bottom="0.25138888888888899" header="0.29861111111111099" footer="0.23958333333333301"/>
  <pageSetup paperSize="133" scale="2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zoomScale="85" zoomScaleNormal="85" workbookViewId="0">
      <selection sqref="A1:B1"/>
    </sheetView>
  </sheetViews>
  <sheetFormatPr defaultRowHeight="14.4" x14ac:dyDescent="0.3"/>
  <cols>
    <col min="1" max="1" width="11.88671875" style="50" bestFit="1" customWidth="1"/>
    <col min="2" max="2" width="10" style="50" bestFit="1" customWidth="1"/>
  </cols>
  <sheetData>
    <row r="1" spans="1:2" x14ac:dyDescent="0.3">
      <c r="A1" s="53" t="s">
        <v>12</v>
      </c>
      <c r="B1" s="53" t="s">
        <v>14</v>
      </c>
    </row>
    <row r="2" spans="1:2" x14ac:dyDescent="0.3">
      <c r="A2" t="s">
        <v>20</v>
      </c>
      <c r="B2"/>
    </row>
    <row r="3" spans="1:2" x14ac:dyDescent="0.3">
      <c r="A3" t="s">
        <v>22</v>
      </c>
      <c r="B3"/>
    </row>
    <row r="4" spans="1:2" x14ac:dyDescent="0.3">
      <c r="A4" t="s">
        <v>24</v>
      </c>
      <c r="B4"/>
    </row>
    <row r="5" spans="1:2" x14ac:dyDescent="0.3">
      <c r="A5" t="s">
        <v>26</v>
      </c>
      <c r="B5"/>
    </row>
    <row r="6" spans="1:2" x14ac:dyDescent="0.3">
      <c r="A6" t="s">
        <v>28</v>
      </c>
      <c r="B6"/>
    </row>
    <row r="7" spans="1:2" x14ac:dyDescent="0.3">
      <c r="A7" t="s">
        <v>30</v>
      </c>
      <c r="B7"/>
    </row>
    <row r="8" spans="1:2" x14ac:dyDescent="0.3">
      <c r="A8" t="s">
        <v>32</v>
      </c>
      <c r="B8"/>
    </row>
    <row r="9" spans="1:2" x14ac:dyDescent="0.3">
      <c r="A9" t="s">
        <v>34</v>
      </c>
      <c r="B9"/>
    </row>
    <row r="10" spans="1:2" x14ac:dyDescent="0.3">
      <c r="A10" t="s">
        <v>36</v>
      </c>
      <c r="B10"/>
    </row>
    <row r="11" spans="1:2" x14ac:dyDescent="0.3">
      <c r="A11" t="s">
        <v>38</v>
      </c>
      <c r="B11"/>
    </row>
    <row r="12" spans="1:2" x14ac:dyDescent="0.3">
      <c r="A12" t="s">
        <v>40</v>
      </c>
      <c r="B12"/>
    </row>
    <row r="13" spans="1:2" x14ac:dyDescent="0.3">
      <c r="A13" t="s">
        <v>42</v>
      </c>
      <c r="B13"/>
    </row>
    <row r="14" spans="1:2" x14ac:dyDescent="0.3">
      <c r="A14" t="s">
        <v>44</v>
      </c>
      <c r="B14"/>
    </row>
    <row r="15" spans="1:2" x14ac:dyDescent="0.3">
      <c r="A15" t="s">
        <v>46</v>
      </c>
      <c r="B15"/>
    </row>
    <row r="16" spans="1:2" x14ac:dyDescent="0.3">
      <c r="A16" t="s">
        <v>56</v>
      </c>
      <c r="B16"/>
    </row>
    <row r="17" spans="1:2" x14ac:dyDescent="0.3">
      <c r="A17" t="s">
        <v>58</v>
      </c>
      <c r="B17"/>
    </row>
    <row r="18" spans="1:2" x14ac:dyDescent="0.3">
      <c r="A18" t="s">
        <v>60</v>
      </c>
      <c r="B18"/>
    </row>
    <row r="19" spans="1:2" x14ac:dyDescent="0.3">
      <c r="A19" t="s">
        <v>62</v>
      </c>
      <c r="B19"/>
    </row>
    <row r="20" spans="1:2" x14ac:dyDescent="0.3">
      <c r="A20" t="s">
        <v>64</v>
      </c>
      <c r="B20"/>
    </row>
    <row r="21" spans="1:2" x14ac:dyDescent="0.3">
      <c r="A21" t="s">
        <v>66</v>
      </c>
      <c r="B21"/>
    </row>
    <row r="22" spans="1:2" x14ac:dyDescent="0.3">
      <c r="A22" t="s">
        <v>68</v>
      </c>
      <c r="B22"/>
    </row>
    <row r="23" spans="1:2" x14ac:dyDescent="0.3">
      <c r="A23" t="s">
        <v>69</v>
      </c>
      <c r="B23"/>
    </row>
    <row r="24" spans="1:2" x14ac:dyDescent="0.3">
      <c r="A24" t="s">
        <v>70</v>
      </c>
      <c r="B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G8" sqref="G8"/>
    </sheetView>
  </sheetViews>
  <sheetFormatPr defaultRowHeight="14.4" x14ac:dyDescent="0.3"/>
  <cols>
    <col min="1" max="1" width="10.21875" style="49" bestFit="1" customWidth="1"/>
    <col min="2" max="2" width="9.6640625" style="49" bestFit="1" customWidth="1"/>
  </cols>
  <sheetData>
    <row r="1" spans="1:2" x14ac:dyDescent="0.3">
      <c r="A1" s="53" t="s">
        <v>12</v>
      </c>
      <c r="B1" s="53" t="s">
        <v>14</v>
      </c>
    </row>
    <row r="2" spans="1:2" x14ac:dyDescent="0.3">
      <c r="A2" t="s">
        <v>80</v>
      </c>
      <c r="B2"/>
    </row>
    <row r="3" spans="1:2" x14ac:dyDescent="0.3">
      <c r="A3" t="s">
        <v>81</v>
      </c>
      <c r="B3"/>
    </row>
    <row r="4" spans="1:2" x14ac:dyDescent="0.3">
      <c r="A4" t="s">
        <v>83</v>
      </c>
      <c r="B4"/>
    </row>
    <row r="5" spans="1:2" x14ac:dyDescent="0.3">
      <c r="A5" t="s">
        <v>84</v>
      </c>
      <c r="B5"/>
    </row>
    <row r="6" spans="1:2" x14ac:dyDescent="0.3">
      <c r="A6" t="s">
        <v>86</v>
      </c>
      <c r="B6"/>
    </row>
    <row r="7" spans="1:2" x14ac:dyDescent="0.3">
      <c r="A7" t="s">
        <v>88</v>
      </c>
      <c r="B7"/>
    </row>
    <row r="8" spans="1:2" x14ac:dyDescent="0.3">
      <c r="A8" t="s">
        <v>89</v>
      </c>
      <c r="B8"/>
    </row>
    <row r="9" spans="1:2" x14ac:dyDescent="0.3">
      <c r="A9" t="s">
        <v>90</v>
      </c>
      <c r="B9"/>
    </row>
    <row r="10" spans="1:2" x14ac:dyDescent="0.3">
      <c r="A10" t="s">
        <v>92</v>
      </c>
      <c r="B10"/>
    </row>
    <row r="11" spans="1:2" x14ac:dyDescent="0.3">
      <c r="A11" t="s">
        <v>93</v>
      </c>
      <c r="B11"/>
    </row>
    <row r="12" spans="1:2" x14ac:dyDescent="0.3">
      <c r="A12" t="s">
        <v>95</v>
      </c>
      <c r="B12"/>
    </row>
    <row r="13" spans="1:2" x14ac:dyDescent="0.3">
      <c r="A13" t="s">
        <v>96</v>
      </c>
      <c r="B13"/>
    </row>
    <row r="14" spans="1:2" x14ac:dyDescent="0.3">
      <c r="A14" t="s">
        <v>97</v>
      </c>
      <c r="B14"/>
    </row>
    <row r="15" spans="1:2" x14ac:dyDescent="0.3">
      <c r="A15" t="s">
        <v>101</v>
      </c>
      <c r="B15"/>
    </row>
    <row r="16" spans="1:2" x14ac:dyDescent="0.3">
      <c r="A16" t="s">
        <v>102</v>
      </c>
      <c r="B16"/>
    </row>
    <row r="17" spans="1:2" x14ac:dyDescent="0.3">
      <c r="A17"/>
      <c r="B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election activeCell="F18" sqref="F18"/>
    </sheetView>
  </sheetViews>
  <sheetFormatPr defaultRowHeight="14.4" x14ac:dyDescent="0.3"/>
  <cols>
    <col min="1" max="1" width="10.44140625" bestFit="1" customWidth="1"/>
    <col min="2" max="2" width="9.6640625" bestFit="1" customWidth="1"/>
  </cols>
  <sheetData>
    <row r="1" spans="1:2" x14ac:dyDescent="0.3">
      <c r="A1" s="53" t="s">
        <v>12</v>
      </c>
      <c r="B1" s="53" t="s">
        <v>14</v>
      </c>
    </row>
    <row r="2" spans="1:2" x14ac:dyDescent="0.3">
      <c r="A2" t="s">
        <v>109</v>
      </c>
    </row>
    <row r="3" spans="1:2" x14ac:dyDescent="0.3">
      <c r="A3" t="s">
        <v>110</v>
      </c>
    </row>
    <row r="4" spans="1:2" x14ac:dyDescent="0.3">
      <c r="A4" t="s">
        <v>112</v>
      </c>
    </row>
    <row r="5" spans="1:2" x14ac:dyDescent="0.3">
      <c r="A5" t="s">
        <v>113</v>
      </c>
    </row>
    <row r="6" spans="1:2" x14ac:dyDescent="0.3">
      <c r="A6" t="s">
        <v>114</v>
      </c>
    </row>
    <row r="7" spans="1:2" x14ac:dyDescent="0.3">
      <c r="A7" t="s">
        <v>115</v>
      </c>
    </row>
    <row r="8" spans="1:2" x14ac:dyDescent="0.3">
      <c r="A8" t="s">
        <v>117</v>
      </c>
    </row>
    <row r="9" spans="1:2" x14ac:dyDescent="0.3">
      <c r="A9" t="s">
        <v>119</v>
      </c>
    </row>
    <row r="10" spans="1:2" x14ac:dyDescent="0.3">
      <c r="A10" t="s">
        <v>120</v>
      </c>
    </row>
    <row r="11" spans="1:2" x14ac:dyDescent="0.3">
      <c r="A11" t="s">
        <v>123</v>
      </c>
    </row>
    <row r="12" spans="1:2" x14ac:dyDescent="0.3">
      <c r="A12" t="s">
        <v>124</v>
      </c>
    </row>
    <row r="13" spans="1:2" x14ac:dyDescent="0.3">
      <c r="A13" t="s">
        <v>127</v>
      </c>
    </row>
    <row r="14" spans="1:2" x14ac:dyDescent="0.3">
      <c r="A14" t="s">
        <v>128</v>
      </c>
    </row>
    <row r="15" spans="1:2" x14ac:dyDescent="0.3">
      <c r="A15" t="s">
        <v>131</v>
      </c>
    </row>
    <row r="16" spans="1:2" x14ac:dyDescent="0.3">
      <c r="A16" t="s">
        <v>132</v>
      </c>
    </row>
    <row r="17" spans="1:1" x14ac:dyDescent="0.3">
      <c r="A17" t="s">
        <v>134</v>
      </c>
    </row>
    <row r="18" spans="1:1" x14ac:dyDescent="0.3">
      <c r="A18" t="s">
        <v>135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
  <sheetViews>
    <sheetView zoomScale="85" zoomScaleNormal="85" workbookViewId="0">
      <selection sqref="A1:B1"/>
    </sheetView>
  </sheetViews>
  <sheetFormatPr defaultRowHeight="14.4" x14ac:dyDescent="0.3"/>
  <cols>
    <col min="1" max="1" width="10.77734375" bestFit="1" customWidth="1"/>
    <col min="2" max="2" width="10" bestFit="1" customWidth="1"/>
  </cols>
  <sheetData>
    <row r="1" spans="1:2" x14ac:dyDescent="0.3">
      <c r="A1" s="53" t="s">
        <v>12</v>
      </c>
      <c r="B1" s="53" t="s">
        <v>14</v>
      </c>
    </row>
    <row r="2" spans="1:2" x14ac:dyDescent="0.3">
      <c r="A2" t="s">
        <v>21</v>
      </c>
    </row>
    <row r="3" spans="1:2" x14ac:dyDescent="0.3">
      <c r="A3" t="s">
        <v>23</v>
      </c>
    </row>
    <row r="4" spans="1:2" x14ac:dyDescent="0.3">
      <c r="A4" t="s">
        <v>25</v>
      </c>
    </row>
    <row r="5" spans="1:2" x14ac:dyDescent="0.3">
      <c r="A5" t="s">
        <v>27</v>
      </c>
    </row>
    <row r="6" spans="1:2" x14ac:dyDescent="0.3">
      <c r="A6" t="s">
        <v>29</v>
      </c>
    </row>
    <row r="7" spans="1:2" x14ac:dyDescent="0.3">
      <c r="A7" t="s">
        <v>31</v>
      </c>
    </row>
    <row r="8" spans="1:2" x14ac:dyDescent="0.3">
      <c r="A8" t="s">
        <v>33</v>
      </c>
    </row>
    <row r="9" spans="1:2" x14ac:dyDescent="0.3">
      <c r="A9" t="s">
        <v>35</v>
      </c>
    </row>
    <row r="10" spans="1:2" x14ac:dyDescent="0.3">
      <c r="A10" t="s">
        <v>37</v>
      </c>
    </row>
    <row r="11" spans="1:2" x14ac:dyDescent="0.3">
      <c r="A11" t="s">
        <v>39</v>
      </c>
    </row>
    <row r="12" spans="1:2" x14ac:dyDescent="0.3">
      <c r="A12" t="s">
        <v>41</v>
      </c>
    </row>
    <row r="13" spans="1:2" x14ac:dyDescent="0.3">
      <c r="A13" t="s">
        <v>43</v>
      </c>
    </row>
    <row r="14" spans="1:2" x14ac:dyDescent="0.3">
      <c r="A14" t="s">
        <v>45</v>
      </c>
    </row>
    <row r="15" spans="1:2" x14ac:dyDescent="0.3">
      <c r="A15" t="s">
        <v>47</v>
      </c>
    </row>
    <row r="16" spans="1:2" x14ac:dyDescent="0.3">
      <c r="A16" t="s">
        <v>49</v>
      </c>
    </row>
    <row r="17" spans="1:1" x14ac:dyDescent="0.3">
      <c r="A17" t="s">
        <v>50</v>
      </c>
    </row>
    <row r="18" spans="1:1" x14ac:dyDescent="0.3">
      <c r="A18" t="s">
        <v>52</v>
      </c>
    </row>
    <row r="19" spans="1:1" x14ac:dyDescent="0.3">
      <c r="A19" t="s">
        <v>55</v>
      </c>
    </row>
    <row r="20" spans="1:1" x14ac:dyDescent="0.3">
      <c r="A20" t="s">
        <v>57</v>
      </c>
    </row>
    <row r="21" spans="1:1" x14ac:dyDescent="0.3">
      <c r="A21" t="s">
        <v>59</v>
      </c>
    </row>
    <row r="22" spans="1:1" x14ac:dyDescent="0.3">
      <c r="A22" t="s">
        <v>61</v>
      </c>
    </row>
    <row r="23" spans="1:1" x14ac:dyDescent="0.3">
      <c r="A23" t="s">
        <v>63</v>
      </c>
    </row>
    <row r="24" spans="1:1" x14ac:dyDescent="0.3">
      <c r="A24" t="s">
        <v>65</v>
      </c>
    </row>
    <row r="25" spans="1:1" x14ac:dyDescent="0.3">
      <c r="A25" t="s">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4"/>
  <sheetViews>
    <sheetView tabSelected="1" zoomScale="70" zoomScaleNormal="70" workbookViewId="0">
      <selection sqref="A1:B1"/>
    </sheetView>
  </sheetViews>
  <sheetFormatPr defaultRowHeight="14.4" x14ac:dyDescent="0.3"/>
  <cols>
    <col min="1" max="1" width="12.44140625" bestFit="1" customWidth="1"/>
    <col min="2" max="2" width="11.33203125" bestFit="1" customWidth="1"/>
  </cols>
  <sheetData>
    <row r="1" spans="1:2" x14ac:dyDescent="0.3">
      <c r="A1" s="53" t="s">
        <v>12</v>
      </c>
      <c r="B1" s="53" t="s">
        <v>13</v>
      </c>
    </row>
    <row r="2" spans="1:2" x14ac:dyDescent="0.3">
      <c r="A2" t="s">
        <v>20</v>
      </c>
    </row>
    <row r="3" spans="1:2" x14ac:dyDescent="0.3">
      <c r="A3" t="s">
        <v>22</v>
      </c>
    </row>
    <row r="4" spans="1:2" x14ac:dyDescent="0.3">
      <c r="A4" t="s">
        <v>24</v>
      </c>
    </row>
    <row r="5" spans="1:2" x14ac:dyDescent="0.3">
      <c r="A5" t="s">
        <v>26</v>
      </c>
    </row>
    <row r="6" spans="1:2" x14ac:dyDescent="0.3">
      <c r="A6" t="s">
        <v>28</v>
      </c>
    </row>
    <row r="7" spans="1:2" x14ac:dyDescent="0.3">
      <c r="A7" t="s">
        <v>30</v>
      </c>
    </row>
    <row r="8" spans="1:2" x14ac:dyDescent="0.3">
      <c r="A8" t="s">
        <v>32</v>
      </c>
    </row>
    <row r="9" spans="1:2" x14ac:dyDescent="0.3">
      <c r="A9" t="s">
        <v>34</v>
      </c>
    </row>
    <row r="10" spans="1:2" x14ac:dyDescent="0.3">
      <c r="A10" t="s">
        <v>36</v>
      </c>
    </row>
    <row r="11" spans="1:2" x14ac:dyDescent="0.3">
      <c r="A11" t="s">
        <v>38</v>
      </c>
    </row>
    <row r="12" spans="1:2" x14ac:dyDescent="0.3">
      <c r="A12" t="s">
        <v>40</v>
      </c>
    </row>
    <row r="13" spans="1:2" x14ac:dyDescent="0.3">
      <c r="A13" t="s">
        <v>42</v>
      </c>
    </row>
    <row r="14" spans="1:2" x14ac:dyDescent="0.3">
      <c r="A14" t="s">
        <v>44</v>
      </c>
    </row>
    <row r="15" spans="1:2" x14ac:dyDescent="0.3">
      <c r="A15" t="s">
        <v>46</v>
      </c>
    </row>
    <row r="16" spans="1:2" x14ac:dyDescent="0.3">
      <c r="A16" t="s">
        <v>56</v>
      </c>
    </row>
    <row r="17" spans="1:1" x14ac:dyDescent="0.3">
      <c r="A17" t="s">
        <v>58</v>
      </c>
    </row>
    <row r="18" spans="1:1" x14ac:dyDescent="0.3">
      <c r="A18" t="s">
        <v>60</v>
      </c>
    </row>
    <row r="19" spans="1:1" x14ac:dyDescent="0.3">
      <c r="A19" t="s">
        <v>62</v>
      </c>
    </row>
    <row r="20" spans="1:1" x14ac:dyDescent="0.3">
      <c r="A20" t="s">
        <v>64</v>
      </c>
    </row>
    <row r="21" spans="1:1" x14ac:dyDescent="0.3">
      <c r="A21" t="s">
        <v>66</v>
      </c>
    </row>
    <row r="22" spans="1:1" x14ac:dyDescent="0.3">
      <c r="A22" t="s">
        <v>68</v>
      </c>
    </row>
    <row r="23" spans="1:1" x14ac:dyDescent="0.3">
      <c r="A23" t="s">
        <v>69</v>
      </c>
    </row>
    <row r="24" spans="1:1" x14ac:dyDescent="0.3">
      <c r="A24"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6"/>
  <sheetViews>
    <sheetView zoomScale="85" zoomScaleNormal="85" workbookViewId="0">
      <selection activeCell="L14" sqref="A1:XFD1048576"/>
    </sheetView>
  </sheetViews>
  <sheetFormatPr defaultRowHeight="14.4" x14ac:dyDescent="0.3"/>
  <cols>
    <col min="1" max="1" width="10.44140625" bestFit="1" customWidth="1"/>
    <col min="2" max="2" width="11.44140625" bestFit="1" customWidth="1"/>
  </cols>
  <sheetData>
    <row r="1" spans="1:2" x14ac:dyDescent="0.3">
      <c r="A1" s="53" t="s">
        <v>12</v>
      </c>
      <c r="B1" s="53" t="s">
        <v>13</v>
      </c>
    </row>
    <row r="2" spans="1:2" x14ac:dyDescent="0.3">
      <c r="A2" t="s">
        <v>80</v>
      </c>
    </row>
    <row r="3" spans="1:2" x14ac:dyDescent="0.3">
      <c r="A3" t="s">
        <v>81</v>
      </c>
    </row>
    <row r="4" spans="1:2" x14ac:dyDescent="0.3">
      <c r="A4" t="s">
        <v>83</v>
      </c>
    </row>
    <row r="5" spans="1:2" x14ac:dyDescent="0.3">
      <c r="A5" t="s">
        <v>84</v>
      </c>
    </row>
    <row r="6" spans="1:2" x14ac:dyDescent="0.3">
      <c r="A6" t="s">
        <v>86</v>
      </c>
    </row>
    <row r="7" spans="1:2" x14ac:dyDescent="0.3">
      <c r="A7" t="s">
        <v>88</v>
      </c>
    </row>
    <row r="8" spans="1:2" x14ac:dyDescent="0.3">
      <c r="A8" t="s">
        <v>89</v>
      </c>
    </row>
    <row r="9" spans="1:2" x14ac:dyDescent="0.3">
      <c r="A9" t="s">
        <v>90</v>
      </c>
    </row>
    <row r="10" spans="1:2" x14ac:dyDescent="0.3">
      <c r="A10" t="s">
        <v>92</v>
      </c>
    </row>
    <row r="11" spans="1:2" x14ac:dyDescent="0.3">
      <c r="A11" t="s">
        <v>93</v>
      </c>
    </row>
    <row r="12" spans="1:2" x14ac:dyDescent="0.3">
      <c r="A12" t="s">
        <v>95</v>
      </c>
    </row>
    <row r="13" spans="1:2" x14ac:dyDescent="0.3">
      <c r="A13" t="s">
        <v>96</v>
      </c>
    </row>
    <row r="14" spans="1:2" x14ac:dyDescent="0.3">
      <c r="A14" t="s">
        <v>97</v>
      </c>
    </row>
    <row r="15" spans="1:2" x14ac:dyDescent="0.3">
      <c r="A15" t="s">
        <v>101</v>
      </c>
    </row>
    <row r="16" spans="1:2" x14ac:dyDescent="0.3">
      <c r="A16" t="s">
        <v>102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8"/>
  <sheetViews>
    <sheetView zoomScale="85" zoomScaleNormal="85" workbookViewId="0">
      <selection activeCell="G10" sqref="A1:XFD1048576"/>
    </sheetView>
  </sheetViews>
  <sheetFormatPr defaultRowHeight="14.4" x14ac:dyDescent="0.3"/>
  <cols>
    <col min="1" max="1" width="10.77734375" bestFit="1" customWidth="1"/>
    <col min="2" max="2" width="11.44140625" bestFit="1" customWidth="1"/>
  </cols>
  <sheetData>
    <row r="1" spans="1:2" x14ac:dyDescent="0.3">
      <c r="A1" s="53" t="s">
        <v>12</v>
      </c>
      <c r="B1" s="53" t="s">
        <v>13</v>
      </c>
    </row>
    <row r="2" spans="1:2" x14ac:dyDescent="0.3">
      <c r="A2" t="s">
        <v>109</v>
      </c>
    </row>
    <row r="3" spans="1:2" x14ac:dyDescent="0.3">
      <c r="A3" t="s">
        <v>110</v>
      </c>
    </row>
    <row r="4" spans="1:2" x14ac:dyDescent="0.3">
      <c r="A4" t="s">
        <v>112</v>
      </c>
    </row>
    <row r="5" spans="1:2" x14ac:dyDescent="0.3">
      <c r="A5" t="s">
        <v>113</v>
      </c>
    </row>
    <row r="6" spans="1:2" x14ac:dyDescent="0.3">
      <c r="A6" t="s">
        <v>114</v>
      </c>
    </row>
    <row r="7" spans="1:2" x14ac:dyDescent="0.3">
      <c r="A7" t="s">
        <v>115</v>
      </c>
    </row>
    <row r="8" spans="1:2" x14ac:dyDescent="0.3">
      <c r="A8" t="s">
        <v>117</v>
      </c>
    </row>
    <row r="9" spans="1:2" x14ac:dyDescent="0.3">
      <c r="A9" t="s">
        <v>119</v>
      </c>
    </row>
    <row r="10" spans="1:2" x14ac:dyDescent="0.3">
      <c r="A10" t="s">
        <v>120</v>
      </c>
    </row>
    <row r="11" spans="1:2" x14ac:dyDescent="0.3">
      <c r="A11" t="s">
        <v>123</v>
      </c>
    </row>
    <row r="12" spans="1:2" x14ac:dyDescent="0.3">
      <c r="A12" t="s">
        <v>124</v>
      </c>
    </row>
    <row r="13" spans="1:2" x14ac:dyDescent="0.3">
      <c r="A13" t="s">
        <v>127</v>
      </c>
    </row>
    <row r="14" spans="1:2" x14ac:dyDescent="0.3">
      <c r="A14" t="s">
        <v>128</v>
      </c>
    </row>
    <row r="15" spans="1:2" x14ac:dyDescent="0.3">
      <c r="A15" t="s">
        <v>131</v>
      </c>
    </row>
    <row r="16" spans="1:2" x14ac:dyDescent="0.3">
      <c r="A16" t="s">
        <v>132</v>
      </c>
    </row>
    <row r="17" spans="1:1" x14ac:dyDescent="0.3">
      <c r="A17" t="s">
        <v>134</v>
      </c>
    </row>
    <row r="18" spans="1:1" x14ac:dyDescent="0.3">
      <c r="A18" t="s">
        <v>135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5"/>
  <sheetViews>
    <sheetView zoomScale="99" zoomScaleNormal="70" workbookViewId="0">
      <selection activeCell="B1" sqref="B1:B1048576"/>
    </sheetView>
  </sheetViews>
  <sheetFormatPr defaultRowHeight="14.4" x14ac:dyDescent="0.3"/>
  <cols>
    <col min="1" max="2" width="11.33203125" bestFit="1" customWidth="1"/>
  </cols>
  <sheetData>
    <row r="1" spans="1:2" x14ac:dyDescent="0.3">
      <c r="A1" s="53" t="s">
        <v>12</v>
      </c>
      <c r="B1" s="53" t="s">
        <v>13</v>
      </c>
    </row>
    <row r="2" spans="1:2" x14ac:dyDescent="0.3">
      <c r="A2" t="s">
        <v>21</v>
      </c>
    </row>
    <row r="3" spans="1:2" x14ac:dyDescent="0.3">
      <c r="A3" t="s">
        <v>23</v>
      </c>
    </row>
    <row r="4" spans="1:2" x14ac:dyDescent="0.3">
      <c r="A4" t="s">
        <v>25</v>
      </c>
    </row>
    <row r="5" spans="1:2" x14ac:dyDescent="0.3">
      <c r="A5" t="s">
        <v>27</v>
      </c>
    </row>
    <row r="6" spans="1:2" x14ac:dyDescent="0.3">
      <c r="A6" t="s">
        <v>29</v>
      </c>
    </row>
    <row r="7" spans="1:2" x14ac:dyDescent="0.3">
      <c r="A7" t="s">
        <v>31</v>
      </c>
    </row>
    <row r="8" spans="1:2" x14ac:dyDescent="0.3">
      <c r="A8" t="s">
        <v>33</v>
      </c>
    </row>
    <row r="9" spans="1:2" x14ac:dyDescent="0.3">
      <c r="A9" t="s">
        <v>35</v>
      </c>
    </row>
    <row r="10" spans="1:2" x14ac:dyDescent="0.3">
      <c r="A10" t="s">
        <v>37</v>
      </c>
    </row>
    <row r="11" spans="1:2" x14ac:dyDescent="0.3">
      <c r="A11" t="s">
        <v>39</v>
      </c>
    </row>
    <row r="12" spans="1:2" x14ac:dyDescent="0.3">
      <c r="A12" t="s">
        <v>41</v>
      </c>
    </row>
    <row r="13" spans="1:2" x14ac:dyDescent="0.3">
      <c r="A13" t="s">
        <v>43</v>
      </c>
    </row>
    <row r="14" spans="1:2" x14ac:dyDescent="0.3">
      <c r="A14" t="s">
        <v>45</v>
      </c>
    </row>
    <row r="15" spans="1:2" x14ac:dyDescent="0.3">
      <c r="A15" t="s">
        <v>47</v>
      </c>
    </row>
    <row r="16" spans="1:2" x14ac:dyDescent="0.3">
      <c r="A16" t="s">
        <v>49</v>
      </c>
    </row>
    <row r="17" spans="1:1" x14ac:dyDescent="0.3">
      <c r="A17" t="s">
        <v>50</v>
      </c>
    </row>
    <row r="18" spans="1:1" x14ac:dyDescent="0.3">
      <c r="A18" t="s">
        <v>52</v>
      </c>
    </row>
    <row r="19" spans="1:1" x14ac:dyDescent="0.3">
      <c r="A19" t="s">
        <v>55</v>
      </c>
    </row>
    <row r="20" spans="1:1" x14ac:dyDescent="0.3">
      <c r="A20" t="s">
        <v>57</v>
      </c>
    </row>
    <row r="21" spans="1:1" x14ac:dyDescent="0.3">
      <c r="A21" t="s">
        <v>59</v>
      </c>
    </row>
    <row r="22" spans="1:1" x14ac:dyDescent="0.3">
      <c r="A22" t="s">
        <v>61</v>
      </c>
    </row>
    <row r="23" spans="1:1" x14ac:dyDescent="0.3">
      <c r="A23" t="s">
        <v>63</v>
      </c>
    </row>
    <row r="24" spans="1:1" x14ac:dyDescent="0.3">
      <c r="A24" t="s">
        <v>65</v>
      </c>
    </row>
    <row r="25" spans="1:1" x14ac:dyDescent="0.3">
      <c r="A25"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INCENTIVEFORM</vt:lpstr>
      <vt:lpstr>NONCONDITIONAL</vt:lpstr>
      <vt:lpstr>RUNNING</vt:lpstr>
      <vt:lpstr>LIQUIDATION</vt:lpstr>
      <vt:lpstr>PUSHMODEL</vt:lpstr>
      <vt:lpstr>PRICENONCONDITIONAL</vt:lpstr>
      <vt:lpstr>PRICERUNNING</vt:lpstr>
      <vt:lpstr>PRICELIQUIDATION</vt:lpstr>
      <vt:lpstr>PRICEPUSHMODEL</vt:lpstr>
      <vt:lpstr>INCENTIVEFORM!Print_Area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Ballesteros, John Tristan</dc:creator>
  <cp:lastModifiedBy>Ballesteros, John Tristan</cp:lastModifiedBy>
  <dcterms:created xsi:type="dcterms:W3CDTF">2025-11-17T03:37:58Z</dcterms:created>
  <dcterms:modified xsi:type="dcterms:W3CDTF">2025-12-05T07:20:41Z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813f4b-519a-4481-a498-85770f517757_Enabled">
    <vt:lpwstr>true</vt:lpwstr>
  </property>
  <property fmtid="{D5CDD505-2E9C-101B-9397-08002B2CF9AE}" pid="3" name="MSIP_Label_8a813f4b-519a-4481-a498-85770f517757_SetDate">
    <vt:lpwstr>2025-11-17T03:38:57Z</vt:lpwstr>
  </property>
  <property fmtid="{D5CDD505-2E9C-101B-9397-08002B2CF9AE}" pid="4" name="MSIP_Label_8a813f4b-519a-4481-a498-85770f517757_Method">
    <vt:lpwstr>Standard</vt:lpwstr>
  </property>
  <property fmtid="{D5CDD505-2E9C-101B-9397-08002B2CF9AE}" pid="5" name="MSIP_Label_8a813f4b-519a-4481-a498-85770f517757_Name">
    <vt:lpwstr>Anyone (unrestricted)</vt:lpwstr>
  </property>
  <property fmtid="{D5CDD505-2E9C-101B-9397-08002B2CF9AE}" pid="6" name="MSIP_Label_8a813f4b-519a-4481-a498-85770f517757_SiteId">
    <vt:lpwstr>1d981f77-3ca3-46ae-b0d4-e8044e6c7f84</vt:lpwstr>
  </property>
  <property fmtid="{D5CDD505-2E9C-101B-9397-08002B2CF9AE}" pid="7" name="MSIP_Label_8a813f4b-519a-4481-a498-85770f517757_ActionId">
    <vt:lpwstr>df3d0e70-ffe9-4ed6-9c11-6e7382e8eec0</vt:lpwstr>
  </property>
  <property fmtid="{D5CDD505-2E9C-101B-9397-08002B2CF9AE}" pid="8" name="MSIP_Label_8a813f4b-519a-4481-a498-85770f517757_ContentBits">
    <vt:lpwstr>0</vt:lpwstr>
  </property>
  <property fmtid="{D5CDD505-2E9C-101B-9397-08002B2CF9AE}" pid="9" name="MSIP_Label_8a813f4b-519a-4481-a498-85770f517757_Tag">
    <vt:lpwstr>10, 3, 0, 1</vt:lpwstr>
  </property>
</Properties>
</file>